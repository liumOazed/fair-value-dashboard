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APL" sheetId="2" state="visible" r:id="rId2"/>
    <sheet xmlns:r="http://schemas.openxmlformats.org/officeDocument/2006/relationships" name="MSFT" sheetId="3" state="visible" r:id="rId3"/>
    <sheet xmlns:r="http://schemas.openxmlformats.org/officeDocument/2006/relationships" name="GOOGL" sheetId="4" state="visible" r:id="rId4"/>
    <sheet xmlns:r="http://schemas.openxmlformats.org/officeDocument/2006/relationships" name="AMZN" sheetId="5" state="visible" r:id="rId5"/>
    <sheet xmlns:r="http://schemas.openxmlformats.org/officeDocument/2006/relationships" name="QQQ" sheetId="6" state="visible" r:id="rId6"/>
    <sheet xmlns:r="http://schemas.openxmlformats.org/officeDocument/2006/relationships" name="GLD" sheetId="7" state="visible" r:id="rId7"/>
    <sheet xmlns:r="http://schemas.openxmlformats.org/officeDocument/2006/relationships" name="Sour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$#,##0.00;($#,##0.00);&quot;-&quot;"/>
    <numFmt numFmtId="165" formatCode="#,##0.000"/>
    <numFmt numFmtId="166" formatCode="#,##0.0;(#,##0.0);&quot;-&quot;"/>
    <numFmt numFmtId="167" formatCode="0.0%;(0.0%);&quot;-&quot;"/>
    <numFmt numFmtId="168" formatCode="0.000"/>
    <numFmt numFmtId="169" formatCode="0.0"/>
    <numFmt numFmtId="170" formatCode="0.0000"/>
    <numFmt numFmtId="171" formatCode="$#,##0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i val="1"/>
      <color rgb="00000000"/>
      <sz val="10"/>
    </font>
    <font>
      <name val="Arial"/>
      <color rgb="00008000"/>
      <sz val="10"/>
    </font>
    <font>
      <name val="Arial"/>
      <b val="1"/>
      <color rgb="00008000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7" fontId="5" fillId="0" borderId="0" pivotButton="0" quotePrefix="0" xfId="0"/>
    <xf numFmtId="0" fontId="6" fillId="3" borderId="0" applyAlignment="1" pivotButton="0" quotePrefix="0" xfId="0">
      <alignment horizontal="center"/>
    </xf>
    <xf numFmtId="0" fontId="1" fillId="0" borderId="0" pivotButton="0" quotePrefix="0" xfId="0"/>
    <xf numFmtId="164" fontId="8" fillId="0" borderId="0" pivotButton="0" quotePrefix="0" xfId="0"/>
    <xf numFmtId="164" fontId="9" fillId="0" borderId="0" pivotButton="0" quotePrefix="0" xfId="0"/>
    <xf numFmtId="167" fontId="8" fillId="0" borderId="0" pivotButton="0" quotePrefix="0" xfId="0"/>
    <xf numFmtId="0" fontId="9" fillId="0" borderId="0" pivotButton="0" quotePrefix="0" xfId="0"/>
    <xf numFmtId="167" fontId="4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164" fontId="5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6" fontId="4" fillId="0" borderId="0" pivotButton="0" quotePrefix="0" xfId="0"/>
    <xf numFmtId="9" fontId="5" fillId="0" borderId="0" pivotButton="0" quotePrefix="0" xfId="0"/>
    <xf numFmtId="0" fontId="7" fillId="0" borderId="0" pivotButton="0" quotePrefix="0" xfId="0"/>
    <xf numFmtId="1" fontId="5" fillId="0" borderId="0" pivotButton="0" quotePrefix="0" xfId="0"/>
    <xf numFmtId="1" fontId="4" fillId="0" borderId="0" pivotButton="0" quotePrefix="0" xfId="0"/>
    <xf numFmtId="168" fontId="4" fillId="0" borderId="0" pivotButton="0" quotePrefix="0" xfId="0"/>
    <xf numFmtId="164" fontId="1" fillId="0" borderId="0" pivotButton="0" quotePrefix="0" xfId="0"/>
    <xf numFmtId="164" fontId="4" fillId="0" borderId="0" pivotButton="0" quotePrefix="0" xfId="0"/>
    <xf numFmtId="167" fontId="1" fillId="0" borderId="0" pivotButton="0" quotePrefix="0" xfId="0"/>
    <xf numFmtId="164" fontId="4" fillId="4" borderId="0" pivotButton="0" quotePrefix="0" xfId="0"/>
    <xf numFmtId="2" fontId="5" fillId="0" borderId="0" pivotButton="0" quotePrefix="0" xfId="0"/>
    <xf numFmtId="169" fontId="5" fillId="0" borderId="0" pivotButton="0" quotePrefix="0" xfId="0"/>
    <xf numFmtId="170" fontId="5" fillId="0" borderId="0" pivotButton="0" quotePrefix="0" xfId="0"/>
    <xf numFmtId="171" fontId="4" fillId="0" borderId="0" pivotButton="0" quotePrefix="0" xfId="0"/>
    <xf numFmtId="171" fontId="5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4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Fair value summary: AAPL, MSFT, GOOGL, AMZN, QQQ, GLD</t>
        </is>
      </c>
    </row>
    <row r="2">
      <c r="A2" s="2" t="inlineStr">
        <is>
          <t>Prices as of the 14 Oct 2026 close. Every figure links to the asset tabs. Blue = input you can change. Black = formula. Green = link to another tab. US$ billions unless stated; per-share values in US$.</t>
        </is>
      </c>
    </row>
    <row r="4">
      <c r="A4" s="3" t="inlineStr">
        <is>
          <t>10-year US Treasury yield</t>
        </is>
      </c>
      <c r="B4" s="4" t="n">
        <v>0.052</v>
      </c>
      <c r="C4" s="2" t="inlineStr">
        <is>
          <t>Approx. 5.2% on 13 to 14 Oct 2026 (Trading Economics, roic.ai). Update as needed.</t>
        </is>
      </c>
    </row>
    <row r="6">
      <c r="A6" s="5" t="inlineStr">
        <is>
          <t>Ticker</t>
        </is>
      </c>
      <c r="B6" s="5" t="inlineStr">
        <is>
          <t>Name</t>
        </is>
      </c>
      <c r="C6" s="5" t="inlineStr">
        <is>
          <t>Price (US$)</t>
        </is>
      </c>
      <c r="D6" s="5" t="inlineStr">
        <is>
          <t>Bear</t>
        </is>
      </c>
      <c r="E6" s="5" t="inlineStr">
        <is>
          <t>Base</t>
        </is>
      </c>
      <c r="F6" s="5" t="inlineStr">
        <is>
          <t>Bull</t>
        </is>
      </c>
      <c r="G6" s="5" t="inlineStr">
        <is>
          <t>Fair value (30/50/20)</t>
        </is>
      </c>
      <c r="H6" s="5" t="inlineStr">
        <is>
          <t>Buy-below</t>
        </is>
      </c>
      <c r="I6" s="5" t="inlineStr">
        <is>
          <t>Price vs fair value</t>
        </is>
      </c>
      <c r="J6" s="5" t="inlineStr">
        <is>
          <t>Status</t>
        </is>
      </c>
      <c r="K6" s="5" t="inlineStr">
        <is>
          <t>Implied return (base)</t>
        </is>
      </c>
      <c r="L6" s="5" t="inlineStr">
        <is>
          <t>Return over Treasury</t>
        </is>
      </c>
      <c r="M6" s="5" t="inlineStr">
        <is>
          <t>Margin of safety</t>
        </is>
      </c>
    </row>
    <row r="7">
      <c r="A7" s="6" t="inlineStr">
        <is>
          <t>AAPL</t>
        </is>
      </c>
      <c r="B7" s="3" t="inlineStr">
        <is>
          <t>Apple Inc.</t>
        </is>
      </c>
      <c r="C7" s="7">
        <f>'AAPL'!B5</f>
        <v/>
      </c>
      <c r="D7" s="7">
        <f>'AAPL'!B63</f>
        <v/>
      </c>
      <c r="E7" s="7">
        <f>'AAPL'!C63</f>
        <v/>
      </c>
      <c r="F7" s="7">
        <f>'AAPL'!D63</f>
        <v/>
      </c>
      <c r="G7" s="8">
        <f>'AAPL'!B66</f>
        <v/>
      </c>
      <c r="H7" s="7">
        <f>'AAPL'!B67</f>
        <v/>
      </c>
      <c r="I7" s="9">
        <f>'AAPL'!B69</f>
        <v/>
      </c>
      <c r="J7" s="10">
        <f>'AAPL'!B70</f>
        <v/>
      </c>
      <c r="K7" s="9">
        <f>'AAPL'!B72</f>
        <v/>
      </c>
      <c r="L7" s="11">
        <f>IF(ISNUMBER(K7),K7-$B$4,"n/a")</f>
        <v/>
      </c>
      <c r="M7" s="9">
        <f>'AAPL'!B15</f>
        <v/>
      </c>
    </row>
    <row r="8">
      <c r="A8" s="6" t="inlineStr">
        <is>
          <t>MSFT</t>
        </is>
      </c>
      <c r="B8" s="3" t="inlineStr">
        <is>
          <t>Microsoft Corp.</t>
        </is>
      </c>
      <c r="C8" s="7">
        <f>'MSFT'!B5</f>
        <v/>
      </c>
      <c r="D8" s="7">
        <f>'MSFT'!B63</f>
        <v/>
      </c>
      <c r="E8" s="7">
        <f>'MSFT'!C63</f>
        <v/>
      </c>
      <c r="F8" s="7">
        <f>'MSFT'!D63</f>
        <v/>
      </c>
      <c r="G8" s="8">
        <f>'MSFT'!B66</f>
        <v/>
      </c>
      <c r="H8" s="7">
        <f>'MSFT'!B67</f>
        <v/>
      </c>
      <c r="I8" s="9">
        <f>'MSFT'!B69</f>
        <v/>
      </c>
      <c r="J8" s="10">
        <f>'MSFT'!B70</f>
        <v/>
      </c>
      <c r="K8" s="9">
        <f>'MSFT'!B72</f>
        <v/>
      </c>
      <c r="L8" s="11">
        <f>IF(ISNUMBER(K8),K8-$B$4,"n/a")</f>
        <v/>
      </c>
      <c r="M8" s="9">
        <f>'MSFT'!B15</f>
        <v/>
      </c>
    </row>
    <row r="9">
      <c r="A9" s="6" t="inlineStr">
        <is>
          <t>GOOGL</t>
        </is>
      </c>
      <c r="B9" s="3" t="inlineStr">
        <is>
          <t>Alphabet Inc. (Class A)</t>
        </is>
      </c>
      <c r="C9" s="7">
        <f>'GOOGL'!B5</f>
        <v/>
      </c>
      <c r="D9" s="7">
        <f>'GOOGL'!B63</f>
        <v/>
      </c>
      <c r="E9" s="7">
        <f>'GOOGL'!C63</f>
        <v/>
      </c>
      <c r="F9" s="7">
        <f>'GOOGL'!D63</f>
        <v/>
      </c>
      <c r="G9" s="8">
        <f>'GOOGL'!B66</f>
        <v/>
      </c>
      <c r="H9" s="7">
        <f>'GOOGL'!B67</f>
        <v/>
      </c>
      <c r="I9" s="9">
        <f>'GOOGL'!B69</f>
        <v/>
      </c>
      <c r="J9" s="10">
        <f>'GOOGL'!B70</f>
        <v/>
      </c>
      <c r="K9" s="9">
        <f>'GOOGL'!B72</f>
        <v/>
      </c>
      <c r="L9" s="11">
        <f>IF(ISNUMBER(K9),K9-$B$4,"n/a")</f>
        <v/>
      </c>
      <c r="M9" s="9">
        <f>'GOOGL'!B15</f>
        <v/>
      </c>
    </row>
    <row r="10">
      <c r="A10" s="6" t="inlineStr">
        <is>
          <t>AMZN</t>
        </is>
      </c>
      <c r="B10" s="3" t="inlineStr">
        <is>
          <t>Amazon.com Inc.</t>
        </is>
      </c>
      <c r="C10" s="7">
        <f>'AMZN'!B5</f>
        <v/>
      </c>
      <c r="D10" s="7">
        <f>'AMZN'!B63</f>
        <v/>
      </c>
      <c r="E10" s="7">
        <f>'AMZN'!C63</f>
        <v/>
      </c>
      <c r="F10" s="7">
        <f>'AMZN'!D63</f>
        <v/>
      </c>
      <c r="G10" s="8">
        <f>'AMZN'!B66</f>
        <v/>
      </c>
      <c r="H10" s="7">
        <f>'AMZN'!B67</f>
        <v/>
      </c>
      <c r="I10" s="9">
        <f>'AMZN'!B69</f>
        <v/>
      </c>
      <c r="J10" s="10">
        <f>'AMZN'!B70</f>
        <v/>
      </c>
      <c r="K10" s="9">
        <f>'AMZN'!B72</f>
        <v/>
      </c>
      <c r="L10" s="11">
        <f>IF(ISNUMBER(K10),K10-$B$4,"n/a")</f>
        <v/>
      </c>
      <c r="M10" s="9">
        <f>'AMZN'!B15</f>
        <v/>
      </c>
    </row>
    <row r="11">
      <c r="A11" s="6" t="inlineStr">
        <is>
          <t>QQQ</t>
        </is>
      </c>
      <c r="B11" s="3" t="inlineStr">
        <is>
          <t>Invesco QQQ Trust</t>
        </is>
      </c>
      <c r="C11" s="7">
        <f>'QQQ'!B5</f>
        <v/>
      </c>
      <c r="D11" s="7">
        <f>'QQQ'!B55</f>
        <v/>
      </c>
      <c r="E11" s="7">
        <f>'QQQ'!C55</f>
        <v/>
      </c>
      <c r="F11" s="7">
        <f>'QQQ'!D55</f>
        <v/>
      </c>
      <c r="G11" s="8">
        <f>'QQQ'!B58</f>
        <v/>
      </c>
      <c r="H11" s="7">
        <f>'QQQ'!B59</f>
        <v/>
      </c>
      <c r="I11" s="9">
        <f>'QQQ'!B61</f>
        <v/>
      </c>
      <c r="J11" s="10">
        <f>'QQQ'!B62</f>
        <v/>
      </c>
      <c r="K11" s="9">
        <f>'QQQ'!B64</f>
        <v/>
      </c>
      <c r="L11" s="11">
        <f>IF(ISNUMBER(K11),K11-$B$4,"n/a")</f>
        <v/>
      </c>
      <c r="M11" s="9">
        <f>'QQQ'!B10</f>
        <v/>
      </c>
    </row>
    <row r="12">
      <c r="A12" s="6" t="inlineStr">
        <is>
          <t>GLD</t>
        </is>
      </c>
      <c r="B12" s="3" t="inlineStr">
        <is>
          <t>SPDR Gold Shares (reference range)</t>
        </is>
      </c>
      <c r="C12" s="7">
        <f>'GLD'!B5</f>
        <v/>
      </c>
      <c r="D12" s="7">
        <f>'GLD'!B14</f>
        <v/>
      </c>
      <c r="E12" s="7">
        <f>'GLD'!C14</f>
        <v/>
      </c>
      <c r="F12" s="7">
        <f>'GLD'!D14</f>
        <v/>
      </c>
      <c r="G12" s="8">
        <f>'GLD'!B19</f>
        <v/>
      </c>
      <c r="H12" s="7">
        <f>'GLD'!B20</f>
        <v/>
      </c>
      <c r="I12" s="9">
        <f>'GLD'!B22</f>
        <v/>
      </c>
      <c r="J12" s="10">
        <f>'GLD'!B23</f>
        <v/>
      </c>
      <c r="K12" s="3" t="inlineStr">
        <is>
          <t>n/a</t>
        </is>
      </c>
      <c r="L12" s="3" t="inlineStr">
        <is>
          <t>n/a</t>
        </is>
      </c>
      <c r="M12" s="9">
        <f>'GLD'!B7</f>
        <v/>
      </c>
    </row>
    <row r="14">
      <c r="A14" s="2" t="inlineStr">
        <is>
          <t>How to read this: 'Price vs fair value' is price divided by the probability-weighted value, minus one. Positive means the price is above the estimated value.</t>
        </is>
      </c>
    </row>
    <row r="15">
      <c r="A15" s="2" t="inlineStr">
        <is>
          <t>Status bands: Attractive = at or below the buy-below price. Potentially interesting = up to half the margin of safety below fair value. Little margin = up to fair value. Above = price exceeds fair value.</t>
        </is>
      </c>
    </row>
    <row r="16">
      <c r="A16" s="2" t="inlineStr">
        <is>
          <t>Implied return = the annual return an investor earns from today's price if the base case plays out, compared with the 10-year Treasury yield.</t>
        </is>
      </c>
    </row>
    <row r="17">
      <c r="A17" s="2" t="inlineStr">
        <is>
          <t>GLD has no cash flows. Its row is a scenario reference range built on judgement, not an intrinsic value. QQQ uses an earnings look-through model with weaker inputs.</t>
        </is>
      </c>
    </row>
    <row r="18">
      <c r="A18" s="2" t="inlineStr">
        <is>
          <t>Required returns are set high relative to history because Treasury yields are at multi-year highs. Each tab has a sensitivity grid showing value at lower required returns.</t>
        </is>
      </c>
    </row>
    <row r="19">
      <c r="A19" s="2" t="inlineStr">
        <is>
          <t>This is a framework for your own analysis, not personalised investment advice. Several inputs are estimates and are labelled as such on each tab.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AAPL: Apple Inc.</t>
        </is>
      </c>
    </row>
    <row r="2">
      <c r="A2" s="2" t="inlineStr">
        <is>
          <t>Blue = input you can change. Black = formula. Green = link to another tab. US$ billions unless stated; per-share values in US$.</t>
        </is>
      </c>
    </row>
    <row r="4">
      <c r="A4" s="12" t="inlineStr">
        <is>
          <t>1. Inputs (market data as of 14 Oct 2026 close; financials from latest filings)</t>
        </is>
      </c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</row>
    <row r="5">
      <c r="A5" s="3" t="inlineStr">
        <is>
          <t>Share price (US$)</t>
        </is>
      </c>
      <c r="B5" s="14" t="n">
        <v>342.96</v>
      </c>
      <c r="C5" s="2" t="inlineStr">
        <is>
          <t>Close 14 Oct 2026, StockAnalysis.com (S&amp;P Global data)</t>
        </is>
      </c>
    </row>
    <row r="6">
      <c r="A6" s="3" t="inlineStr">
        <is>
          <t>Shares outstanding (bn)</t>
        </is>
      </c>
      <c r="B6" s="15" t="n">
        <v>14.594</v>
      </c>
      <c r="C6" s="2" t="inlineStr">
        <is>
          <t>Apple 10-Q (quarter to 27 Jun 2026): 14.594bn shares at 17 Jul 2026</t>
        </is>
      </c>
    </row>
    <row r="7">
      <c r="A7" s="3" t="inlineStr">
        <is>
          <t>TTM revenue ($bn)</t>
        </is>
      </c>
      <c r="B7" s="16" t="n">
        <v>466.8</v>
      </c>
      <c r="C7" s="2" t="inlineStr">
        <is>
          <t>TTM to Jun 2026: TTM FCF divided by the reported 29.28% FCF margin (StockAnalysis.com)</t>
        </is>
      </c>
    </row>
    <row r="8">
      <c r="A8" s="3" t="inlineStr">
        <is>
          <t>TTM free cash flow ($bn)</t>
        </is>
      </c>
      <c r="B8" s="16" t="n">
        <v>136.683</v>
      </c>
      <c r="C8" s="2" t="inlineStr">
        <is>
          <t>TTM to Jun 2026, StockAnalysis.com / Alpha Spread: $136.7bn</t>
        </is>
      </c>
    </row>
    <row r="9">
      <c r="A9" s="3" t="inlineStr">
        <is>
          <t>TTM stock-based compensation ($bn)</t>
        </is>
      </c>
      <c r="B9" s="16" t="n">
        <v>13.706</v>
      </c>
      <c r="C9" s="2" t="inlineStr">
        <is>
          <t>TTM to Jun 2026, StockAnalysis.com: $13.7bn</t>
        </is>
      </c>
    </row>
    <row r="10">
      <c r="A10" s="3" t="inlineStr">
        <is>
          <t>Net cash / (debt) ($bn)</t>
        </is>
      </c>
      <c r="B10" s="16" t="n">
        <v>64.2</v>
      </c>
      <c r="C10" s="2" t="inlineStr">
        <is>
          <t>Apple 10-Q 27 Jun 2026: cash and securities $146.5bn less term debt $82.3bn</t>
        </is>
      </c>
    </row>
    <row r="11">
      <c r="A11" s="3" t="inlineStr">
        <is>
          <t>Other assets at book value ($bn)</t>
        </is>
      </c>
      <c r="B11" s="16" t="n">
        <v>0</v>
      </c>
      <c r="C11" s="2" t="inlineStr">
        <is>
          <t>None</t>
        </is>
      </c>
    </row>
    <row r="12">
      <c r="A12" s="3" t="inlineStr">
        <is>
          <t>Haircut applied to other assets</t>
        </is>
      </c>
      <c r="B12" s="4" t="n">
        <v>0</v>
      </c>
      <c r="C12" s="2" t="inlineStr">
        <is>
          <t>Judgement: private stakes valued at half of book</t>
        </is>
      </c>
    </row>
    <row r="13">
      <c r="A13" s="3" t="inlineStr">
        <is>
          <t>Required annual return</t>
        </is>
      </c>
      <c r="B13" s="4" t="n">
        <v>0.09</v>
      </c>
      <c r="C13" s="2" t="inlineStr">
        <is>
          <t>10-yr Treasury ~5.2% (Oct 2026) plus an equity premium of about 3.8 to 5.3 points</t>
        </is>
      </c>
    </row>
    <row r="14">
      <c r="A14" s="3" t="inlineStr">
        <is>
          <t>Terminal growth rate</t>
        </is>
      </c>
      <c r="B14" s="4" t="n">
        <v>0.025</v>
      </c>
      <c r="C14" s="2" t="inlineStr">
        <is>
          <t>Below long-run nominal GDP growth</t>
        </is>
      </c>
    </row>
    <row r="15">
      <c r="A15" s="3" t="inlineStr">
        <is>
          <t>Margin of safety</t>
        </is>
      </c>
      <c r="B15" s="4" t="n">
        <v>0.25</v>
      </c>
      <c r="C15" s="2" t="inlineStr">
        <is>
          <t>Wider for businesses whose free cash flow is currently depressed or uncertain</t>
        </is>
      </c>
    </row>
    <row r="16">
      <c r="A16" s="3" t="inlineStr">
        <is>
          <t>Current SBC-adjusted FCF margin</t>
        </is>
      </c>
      <c r="B16" s="11">
        <f>(B8-B9)/B7</f>
        <v/>
      </c>
      <c r="C16" s="2" t="inlineStr">
        <is>
          <t>(FCF minus stock-based compensation) divided by revenue</t>
        </is>
      </c>
    </row>
    <row r="17">
      <c r="A17" s="3" t="inlineStr">
        <is>
          <t>Adjusted net cash ($bn)</t>
        </is>
      </c>
      <c r="B17" s="17">
        <f>B10+B11*(1-B12)</f>
        <v/>
      </c>
    </row>
    <row r="19">
      <c r="A19" s="12" t="inlineStr">
        <is>
          <t>2. Scenario assumptions</t>
        </is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</row>
    <row r="20">
      <c r="B20" s="5" t="inlineStr">
        <is>
          <t>Bear</t>
        </is>
      </c>
      <c r="C20" s="5" t="inlineStr">
        <is>
          <t>Base</t>
        </is>
      </c>
      <c r="D20" s="5" t="inlineStr">
        <is>
          <t>Bull</t>
        </is>
      </c>
    </row>
    <row r="21">
      <c r="A21" s="3" t="inlineStr">
        <is>
          <t>Revenue growth, year 1</t>
        </is>
      </c>
      <c r="B21" s="4" t="n">
        <v>0.06</v>
      </c>
      <c r="C21" s="4" t="n">
        <v>0.09</v>
      </c>
      <c r="D21" s="4" t="n">
        <v>0.12</v>
      </c>
    </row>
    <row r="22">
      <c r="A22" s="3" t="inlineStr">
        <is>
          <t>Revenue growth, year 10</t>
        </is>
      </c>
      <c r="B22" s="4" t="n">
        <v>0.03</v>
      </c>
      <c r="C22" s="4" t="n">
        <v>0.04</v>
      </c>
      <c r="D22" s="4" t="n">
        <v>0.05</v>
      </c>
    </row>
    <row r="23">
      <c r="A23" s="3" t="inlineStr">
        <is>
          <t>Target SBC-adjusted FCF margin</t>
        </is>
      </c>
      <c r="B23" s="4" t="n">
        <v>0.225</v>
      </c>
      <c r="C23" s="4" t="n">
        <v>0.245</v>
      </c>
      <c r="D23" s="4" t="n">
        <v>0.265</v>
      </c>
    </row>
    <row r="24">
      <c r="A24" s="3" t="inlineStr">
        <is>
          <t>Probability</t>
        </is>
      </c>
      <c r="B24" s="18" t="n">
        <v>0.3</v>
      </c>
      <c r="C24" s="18" t="n">
        <v>0.5</v>
      </c>
      <c r="D24" s="18" t="n">
        <v>0.2</v>
      </c>
      <c r="E24" s="19">
        <f>IF(ROUND(SUM(B24:D24),6)=1,"OK: sums to 100%","Probabilities must sum to 100%")</f>
        <v/>
      </c>
    </row>
    <row r="25">
      <c r="A25" s="3" t="inlineStr">
        <is>
          <t>Years to reach target margin</t>
        </is>
      </c>
      <c r="B25" s="20" t="n">
        <v>5</v>
      </c>
      <c r="C25" s="2" t="inlineStr">
        <is>
          <t>Growth fades in a straight line from year 1 to year 10; margin moves in a straight line to target.</t>
        </is>
      </c>
    </row>
    <row r="27">
      <c r="A27" s="12" t="inlineStr">
        <is>
          <t>3. Ten-year projection (growth fades linearly; value of years beyond year 10 is captured by the terminal value)</t>
        </is>
      </c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</row>
    <row r="28">
      <c r="A28" s="6" t="inlineStr">
        <is>
          <t>Bear case</t>
        </is>
      </c>
      <c r="C28" s="5" t="inlineStr">
        <is>
          <t>Y1</t>
        </is>
      </c>
      <c r="D28" s="5" t="inlineStr">
        <is>
          <t>Y2</t>
        </is>
      </c>
      <c r="E28" s="5" t="inlineStr">
        <is>
          <t>Y3</t>
        </is>
      </c>
      <c r="F28" s="5" t="inlineStr">
        <is>
          <t>Y4</t>
        </is>
      </c>
      <c r="G28" s="5" t="inlineStr">
        <is>
          <t>Y5</t>
        </is>
      </c>
      <c r="H28" s="5" t="inlineStr">
        <is>
          <t>Y6</t>
        </is>
      </c>
      <c r="I28" s="5" t="inlineStr">
        <is>
          <t>Y7</t>
        </is>
      </c>
      <c r="J28" s="5" t="inlineStr">
        <is>
          <t>Y8</t>
        </is>
      </c>
      <c r="K28" s="5" t="inlineStr">
        <is>
          <t>Y9</t>
        </is>
      </c>
      <c r="L28" s="5" t="inlineStr">
        <is>
          <t>Y10</t>
        </is>
      </c>
    </row>
    <row r="29">
      <c r="A29" s="3" t="inlineStr">
        <is>
          <t>Year index</t>
        </is>
      </c>
      <c r="C29" s="21" t="n">
        <v>1</v>
      </c>
      <c r="D29" s="21" t="n">
        <v>2</v>
      </c>
      <c r="E29" s="21" t="n">
        <v>3</v>
      </c>
      <c r="F29" s="21" t="n">
        <v>4</v>
      </c>
      <c r="G29" s="21" t="n">
        <v>5</v>
      </c>
      <c r="H29" s="21" t="n">
        <v>6</v>
      </c>
      <c r="I29" s="21" t="n">
        <v>7</v>
      </c>
      <c r="J29" s="21" t="n">
        <v>8</v>
      </c>
      <c r="K29" s="21" t="n">
        <v>9</v>
      </c>
      <c r="L29" s="21" t="n">
        <v>10</v>
      </c>
    </row>
    <row r="30">
      <c r="A30" s="3" t="inlineStr">
        <is>
          <t>Revenue growth</t>
        </is>
      </c>
      <c r="C30" s="11">
        <f>$B$21+($B$22-$B$21)*(C29-1)/9</f>
        <v/>
      </c>
      <c r="D30" s="11">
        <f>$B$21+($B$22-$B$21)*(D29-1)/9</f>
        <v/>
      </c>
      <c r="E30" s="11">
        <f>$B$21+($B$22-$B$21)*(E29-1)/9</f>
        <v/>
      </c>
      <c r="F30" s="11">
        <f>$B$21+($B$22-$B$21)*(F29-1)/9</f>
        <v/>
      </c>
      <c r="G30" s="11">
        <f>$B$21+($B$22-$B$21)*(G29-1)/9</f>
        <v/>
      </c>
      <c r="H30" s="11">
        <f>$B$21+($B$22-$B$21)*(H29-1)/9</f>
        <v/>
      </c>
      <c r="I30" s="11">
        <f>$B$21+($B$22-$B$21)*(I29-1)/9</f>
        <v/>
      </c>
      <c r="J30" s="11">
        <f>$B$21+($B$22-$B$21)*(J29-1)/9</f>
        <v/>
      </c>
      <c r="K30" s="11">
        <f>$B$21+($B$22-$B$21)*(K29-1)/9</f>
        <v/>
      </c>
      <c r="L30" s="11">
        <f>$B$21+($B$22-$B$21)*(L29-1)/9</f>
        <v/>
      </c>
    </row>
    <row r="31">
      <c r="A31" s="3" t="inlineStr">
        <is>
          <t>Revenue ($bn)</t>
        </is>
      </c>
      <c r="C31" s="17">
        <f>$B$7*(1+C30)</f>
        <v/>
      </c>
      <c r="D31" s="17">
        <f>C31*(1+D30)</f>
        <v/>
      </c>
      <c r="E31" s="17">
        <f>D31*(1+E30)</f>
        <v/>
      </c>
      <c r="F31" s="17">
        <f>E31*(1+F30)</f>
        <v/>
      </c>
      <c r="G31" s="17">
        <f>F31*(1+G30)</f>
        <v/>
      </c>
      <c r="H31" s="17">
        <f>G31*(1+H30)</f>
        <v/>
      </c>
      <c r="I31" s="17">
        <f>H31*(1+I30)</f>
        <v/>
      </c>
      <c r="J31" s="17">
        <f>I31*(1+J30)</f>
        <v/>
      </c>
      <c r="K31" s="17">
        <f>J31*(1+K30)</f>
        <v/>
      </c>
      <c r="L31" s="17">
        <f>K31*(1+L30)</f>
        <v/>
      </c>
    </row>
    <row r="32">
      <c r="A32" s="3" t="inlineStr">
        <is>
          <t>SBC-adjusted FCF margin</t>
        </is>
      </c>
      <c r="C32" s="11">
        <f>$B$16+($B$23-$B$16)*MIN(C29,$B$25)/$B$25</f>
        <v/>
      </c>
      <c r="D32" s="11">
        <f>$B$16+($B$23-$B$16)*MIN(D29,$B$25)/$B$25</f>
        <v/>
      </c>
      <c r="E32" s="11">
        <f>$B$16+($B$23-$B$16)*MIN(E29,$B$25)/$B$25</f>
        <v/>
      </c>
      <c r="F32" s="11">
        <f>$B$16+($B$23-$B$16)*MIN(F29,$B$25)/$B$25</f>
        <v/>
      </c>
      <c r="G32" s="11">
        <f>$B$16+($B$23-$B$16)*MIN(G29,$B$25)/$B$25</f>
        <v/>
      </c>
      <c r="H32" s="11">
        <f>$B$16+($B$23-$B$16)*MIN(H29,$B$25)/$B$25</f>
        <v/>
      </c>
      <c r="I32" s="11">
        <f>$B$16+($B$23-$B$16)*MIN(I29,$B$25)/$B$25</f>
        <v/>
      </c>
      <c r="J32" s="11">
        <f>$B$16+($B$23-$B$16)*MIN(J29,$B$25)/$B$25</f>
        <v/>
      </c>
      <c r="K32" s="11">
        <f>$B$16+($B$23-$B$16)*MIN(K29,$B$25)/$B$25</f>
        <v/>
      </c>
      <c r="L32" s="11">
        <f>$B$16+($B$23-$B$16)*MIN(L29,$B$25)/$B$25</f>
        <v/>
      </c>
    </row>
    <row r="33">
      <c r="A33" s="3" t="inlineStr">
        <is>
          <t>SBC-adjusted FCF ($bn)</t>
        </is>
      </c>
      <c r="C33" s="17">
        <f>C31*C32</f>
        <v/>
      </c>
      <c r="D33" s="17">
        <f>D31*D32</f>
        <v/>
      </c>
      <c r="E33" s="17">
        <f>E31*E32</f>
        <v/>
      </c>
      <c r="F33" s="17">
        <f>F31*F32</f>
        <v/>
      </c>
      <c r="G33" s="17">
        <f>G31*G32</f>
        <v/>
      </c>
      <c r="H33" s="17">
        <f>H31*H32</f>
        <v/>
      </c>
      <c r="I33" s="17">
        <f>I31*I32</f>
        <v/>
      </c>
      <c r="J33" s="17">
        <f>J31*J32</f>
        <v/>
      </c>
      <c r="K33" s="17">
        <f>K31*K32</f>
        <v/>
      </c>
      <c r="L33" s="17">
        <f>L31*L32</f>
        <v/>
      </c>
    </row>
    <row r="34">
      <c r="A34" s="3" t="inlineStr">
        <is>
          <t>Discount factor</t>
        </is>
      </c>
      <c r="C34" s="22">
        <f>1/(1+$B$13)^C29</f>
        <v/>
      </c>
      <c r="D34" s="22">
        <f>1/(1+$B$13)^D29</f>
        <v/>
      </c>
      <c r="E34" s="22">
        <f>1/(1+$B$13)^E29</f>
        <v/>
      </c>
      <c r="F34" s="22">
        <f>1/(1+$B$13)^F29</f>
        <v/>
      </c>
      <c r="G34" s="22">
        <f>1/(1+$B$13)^G29</f>
        <v/>
      </c>
      <c r="H34" s="22">
        <f>1/(1+$B$13)^H29</f>
        <v/>
      </c>
      <c r="I34" s="22">
        <f>1/(1+$B$13)^I29</f>
        <v/>
      </c>
      <c r="J34" s="22">
        <f>1/(1+$B$13)^J29</f>
        <v/>
      </c>
      <c r="K34" s="22">
        <f>1/(1+$B$13)^K29</f>
        <v/>
      </c>
      <c r="L34" s="22">
        <f>1/(1+$B$13)^L29</f>
        <v/>
      </c>
    </row>
    <row r="35">
      <c r="A35" s="3" t="inlineStr">
        <is>
          <t>Present value of FCF ($bn)</t>
        </is>
      </c>
      <c r="C35" s="17">
        <f>C33*C34</f>
        <v/>
      </c>
      <c r="D35" s="17">
        <f>D33*D34</f>
        <v/>
      </c>
      <c r="E35" s="17">
        <f>E33*E34</f>
        <v/>
      </c>
      <c r="F35" s="17">
        <f>F33*F34</f>
        <v/>
      </c>
      <c r="G35" s="17">
        <f>G33*G34</f>
        <v/>
      </c>
      <c r="H35" s="17">
        <f>H33*H34</f>
        <v/>
      </c>
      <c r="I35" s="17">
        <f>I33*I34</f>
        <v/>
      </c>
      <c r="J35" s="17">
        <f>J33*J34</f>
        <v/>
      </c>
      <c r="K35" s="17">
        <f>K33*K34</f>
        <v/>
      </c>
      <c r="L35" s="17">
        <f>L33*L34</f>
        <v/>
      </c>
    </row>
    <row r="37">
      <c r="A37" s="6" t="inlineStr">
        <is>
          <t>Base case</t>
        </is>
      </c>
      <c r="C37" s="5" t="inlineStr">
        <is>
          <t>Y1</t>
        </is>
      </c>
      <c r="D37" s="5" t="inlineStr">
        <is>
          <t>Y2</t>
        </is>
      </c>
      <c r="E37" s="5" t="inlineStr">
        <is>
          <t>Y3</t>
        </is>
      </c>
      <c r="F37" s="5" t="inlineStr">
        <is>
          <t>Y4</t>
        </is>
      </c>
      <c r="G37" s="5" t="inlineStr">
        <is>
          <t>Y5</t>
        </is>
      </c>
      <c r="H37" s="5" t="inlineStr">
        <is>
          <t>Y6</t>
        </is>
      </c>
      <c r="I37" s="5" t="inlineStr">
        <is>
          <t>Y7</t>
        </is>
      </c>
      <c r="J37" s="5" t="inlineStr">
        <is>
          <t>Y8</t>
        </is>
      </c>
      <c r="K37" s="5" t="inlineStr">
        <is>
          <t>Y9</t>
        </is>
      </c>
      <c r="L37" s="5" t="inlineStr">
        <is>
          <t>Y10</t>
        </is>
      </c>
    </row>
    <row r="38">
      <c r="A38" s="3" t="inlineStr">
        <is>
          <t>Year index</t>
        </is>
      </c>
      <c r="C38" s="21" t="n">
        <v>1</v>
      </c>
      <c r="D38" s="21" t="n">
        <v>2</v>
      </c>
      <c r="E38" s="21" t="n">
        <v>3</v>
      </c>
      <c r="F38" s="21" t="n">
        <v>4</v>
      </c>
      <c r="G38" s="21" t="n">
        <v>5</v>
      </c>
      <c r="H38" s="21" t="n">
        <v>6</v>
      </c>
      <c r="I38" s="21" t="n">
        <v>7</v>
      </c>
      <c r="J38" s="21" t="n">
        <v>8</v>
      </c>
      <c r="K38" s="21" t="n">
        <v>9</v>
      </c>
      <c r="L38" s="21" t="n">
        <v>10</v>
      </c>
    </row>
    <row r="39">
      <c r="A39" s="3" t="inlineStr">
        <is>
          <t>Revenue growth</t>
        </is>
      </c>
      <c r="C39" s="11">
        <f>$C$21+($C$22-$C$21)*(C38-1)/9</f>
        <v/>
      </c>
      <c r="D39" s="11">
        <f>$C$21+($C$22-$C$21)*(D38-1)/9</f>
        <v/>
      </c>
      <c r="E39" s="11">
        <f>$C$21+($C$22-$C$21)*(E38-1)/9</f>
        <v/>
      </c>
      <c r="F39" s="11">
        <f>$C$21+($C$22-$C$21)*(F38-1)/9</f>
        <v/>
      </c>
      <c r="G39" s="11">
        <f>$C$21+($C$22-$C$21)*(G38-1)/9</f>
        <v/>
      </c>
      <c r="H39" s="11">
        <f>$C$21+($C$22-$C$21)*(H38-1)/9</f>
        <v/>
      </c>
      <c r="I39" s="11">
        <f>$C$21+($C$22-$C$21)*(I38-1)/9</f>
        <v/>
      </c>
      <c r="J39" s="11">
        <f>$C$21+($C$22-$C$21)*(J38-1)/9</f>
        <v/>
      </c>
      <c r="K39" s="11">
        <f>$C$21+($C$22-$C$21)*(K38-1)/9</f>
        <v/>
      </c>
      <c r="L39" s="11">
        <f>$C$21+($C$22-$C$21)*(L38-1)/9</f>
        <v/>
      </c>
    </row>
    <row r="40">
      <c r="A40" s="3" t="inlineStr">
        <is>
          <t>Revenue ($bn)</t>
        </is>
      </c>
      <c r="C40" s="17">
        <f>$B$7*(1+C39)</f>
        <v/>
      </c>
      <c r="D40" s="17">
        <f>C40*(1+D39)</f>
        <v/>
      </c>
      <c r="E40" s="17">
        <f>D40*(1+E39)</f>
        <v/>
      </c>
      <c r="F40" s="17">
        <f>E40*(1+F39)</f>
        <v/>
      </c>
      <c r="G40" s="17">
        <f>F40*(1+G39)</f>
        <v/>
      </c>
      <c r="H40" s="17">
        <f>G40*(1+H39)</f>
        <v/>
      </c>
      <c r="I40" s="17">
        <f>H40*(1+I39)</f>
        <v/>
      </c>
      <c r="J40" s="17">
        <f>I40*(1+J39)</f>
        <v/>
      </c>
      <c r="K40" s="17">
        <f>J40*(1+K39)</f>
        <v/>
      </c>
      <c r="L40" s="17">
        <f>K40*(1+L39)</f>
        <v/>
      </c>
    </row>
    <row r="41">
      <c r="A41" s="3" t="inlineStr">
        <is>
          <t>SBC-adjusted FCF margin</t>
        </is>
      </c>
      <c r="C41" s="11">
        <f>$B$16+($C$23-$B$16)*MIN(C38,$B$25)/$B$25</f>
        <v/>
      </c>
      <c r="D41" s="11">
        <f>$B$16+($C$23-$B$16)*MIN(D38,$B$25)/$B$25</f>
        <v/>
      </c>
      <c r="E41" s="11">
        <f>$B$16+($C$23-$B$16)*MIN(E38,$B$25)/$B$25</f>
        <v/>
      </c>
      <c r="F41" s="11">
        <f>$B$16+($C$23-$B$16)*MIN(F38,$B$25)/$B$25</f>
        <v/>
      </c>
      <c r="G41" s="11">
        <f>$B$16+($C$23-$B$16)*MIN(G38,$B$25)/$B$25</f>
        <v/>
      </c>
      <c r="H41" s="11">
        <f>$B$16+($C$23-$B$16)*MIN(H38,$B$25)/$B$25</f>
        <v/>
      </c>
      <c r="I41" s="11">
        <f>$B$16+($C$23-$B$16)*MIN(I38,$B$25)/$B$25</f>
        <v/>
      </c>
      <c r="J41" s="11">
        <f>$B$16+($C$23-$B$16)*MIN(J38,$B$25)/$B$25</f>
        <v/>
      </c>
      <c r="K41" s="11">
        <f>$B$16+($C$23-$B$16)*MIN(K38,$B$25)/$B$25</f>
        <v/>
      </c>
      <c r="L41" s="11">
        <f>$B$16+($C$23-$B$16)*MIN(L38,$B$25)/$B$25</f>
        <v/>
      </c>
    </row>
    <row r="42">
      <c r="A42" s="3" t="inlineStr">
        <is>
          <t>SBC-adjusted FCF ($bn)</t>
        </is>
      </c>
      <c r="C42" s="17">
        <f>C40*C41</f>
        <v/>
      </c>
      <c r="D42" s="17">
        <f>D40*D41</f>
        <v/>
      </c>
      <c r="E42" s="17">
        <f>E40*E41</f>
        <v/>
      </c>
      <c r="F42" s="17">
        <f>F40*F41</f>
        <v/>
      </c>
      <c r="G42" s="17">
        <f>G40*G41</f>
        <v/>
      </c>
      <c r="H42" s="17">
        <f>H40*H41</f>
        <v/>
      </c>
      <c r="I42" s="17">
        <f>I40*I41</f>
        <v/>
      </c>
      <c r="J42" s="17">
        <f>J40*J41</f>
        <v/>
      </c>
      <c r="K42" s="17">
        <f>K40*K41</f>
        <v/>
      </c>
      <c r="L42" s="17">
        <f>L40*L41</f>
        <v/>
      </c>
    </row>
    <row r="43">
      <c r="A43" s="3" t="inlineStr">
        <is>
          <t>Discount factor</t>
        </is>
      </c>
      <c r="C43" s="22">
        <f>1/(1+$B$13)^C38</f>
        <v/>
      </c>
      <c r="D43" s="22">
        <f>1/(1+$B$13)^D38</f>
        <v/>
      </c>
      <c r="E43" s="22">
        <f>1/(1+$B$13)^E38</f>
        <v/>
      </c>
      <c r="F43" s="22">
        <f>1/(1+$B$13)^F38</f>
        <v/>
      </c>
      <c r="G43" s="22">
        <f>1/(1+$B$13)^G38</f>
        <v/>
      </c>
      <c r="H43" s="22">
        <f>1/(1+$B$13)^H38</f>
        <v/>
      </c>
      <c r="I43" s="22">
        <f>1/(1+$B$13)^I38</f>
        <v/>
      </c>
      <c r="J43" s="22">
        <f>1/(1+$B$13)^J38</f>
        <v/>
      </c>
      <c r="K43" s="22">
        <f>1/(1+$B$13)^K38</f>
        <v/>
      </c>
      <c r="L43" s="22">
        <f>1/(1+$B$13)^L38</f>
        <v/>
      </c>
    </row>
    <row r="44">
      <c r="A44" s="3" t="inlineStr">
        <is>
          <t>Present value of FCF ($bn)</t>
        </is>
      </c>
      <c r="C44" s="17">
        <f>C42*C43</f>
        <v/>
      </c>
      <c r="D44" s="17">
        <f>D42*D43</f>
        <v/>
      </c>
      <c r="E44" s="17">
        <f>E42*E43</f>
        <v/>
      </c>
      <c r="F44" s="17">
        <f>F42*F43</f>
        <v/>
      </c>
      <c r="G44" s="17">
        <f>G42*G43</f>
        <v/>
      </c>
      <c r="H44" s="17">
        <f>H42*H43</f>
        <v/>
      </c>
      <c r="I44" s="17">
        <f>I42*I43</f>
        <v/>
      </c>
      <c r="J44" s="17">
        <f>J42*J43</f>
        <v/>
      </c>
      <c r="K44" s="17">
        <f>K42*K43</f>
        <v/>
      </c>
      <c r="L44" s="17">
        <f>L42*L43</f>
        <v/>
      </c>
    </row>
    <row r="46">
      <c r="A46" s="6" t="inlineStr">
        <is>
          <t>Bull case</t>
        </is>
      </c>
      <c r="C46" s="5" t="inlineStr">
        <is>
          <t>Y1</t>
        </is>
      </c>
      <c r="D46" s="5" t="inlineStr">
        <is>
          <t>Y2</t>
        </is>
      </c>
      <c r="E46" s="5" t="inlineStr">
        <is>
          <t>Y3</t>
        </is>
      </c>
      <c r="F46" s="5" t="inlineStr">
        <is>
          <t>Y4</t>
        </is>
      </c>
      <c r="G46" s="5" t="inlineStr">
        <is>
          <t>Y5</t>
        </is>
      </c>
      <c r="H46" s="5" t="inlineStr">
        <is>
          <t>Y6</t>
        </is>
      </c>
      <c r="I46" s="5" t="inlineStr">
        <is>
          <t>Y7</t>
        </is>
      </c>
      <c r="J46" s="5" t="inlineStr">
        <is>
          <t>Y8</t>
        </is>
      </c>
      <c r="K46" s="5" t="inlineStr">
        <is>
          <t>Y9</t>
        </is>
      </c>
      <c r="L46" s="5" t="inlineStr">
        <is>
          <t>Y10</t>
        </is>
      </c>
    </row>
    <row r="47">
      <c r="A47" s="3" t="inlineStr">
        <is>
          <t>Year index</t>
        </is>
      </c>
      <c r="C47" s="21" t="n">
        <v>1</v>
      </c>
      <c r="D47" s="21" t="n">
        <v>2</v>
      </c>
      <c r="E47" s="21" t="n">
        <v>3</v>
      </c>
      <c r="F47" s="21" t="n">
        <v>4</v>
      </c>
      <c r="G47" s="21" t="n">
        <v>5</v>
      </c>
      <c r="H47" s="21" t="n">
        <v>6</v>
      </c>
      <c r="I47" s="21" t="n">
        <v>7</v>
      </c>
      <c r="J47" s="21" t="n">
        <v>8</v>
      </c>
      <c r="K47" s="21" t="n">
        <v>9</v>
      </c>
      <c r="L47" s="21" t="n">
        <v>10</v>
      </c>
    </row>
    <row r="48">
      <c r="A48" s="3" t="inlineStr">
        <is>
          <t>Revenue growth</t>
        </is>
      </c>
      <c r="C48" s="11">
        <f>$D$21+($D$22-$D$21)*(C47-1)/9</f>
        <v/>
      </c>
      <c r="D48" s="11">
        <f>$D$21+($D$22-$D$21)*(D47-1)/9</f>
        <v/>
      </c>
      <c r="E48" s="11">
        <f>$D$21+($D$22-$D$21)*(E47-1)/9</f>
        <v/>
      </c>
      <c r="F48" s="11">
        <f>$D$21+($D$22-$D$21)*(F47-1)/9</f>
        <v/>
      </c>
      <c r="G48" s="11">
        <f>$D$21+($D$22-$D$21)*(G47-1)/9</f>
        <v/>
      </c>
      <c r="H48" s="11">
        <f>$D$21+($D$22-$D$21)*(H47-1)/9</f>
        <v/>
      </c>
      <c r="I48" s="11">
        <f>$D$21+($D$22-$D$21)*(I47-1)/9</f>
        <v/>
      </c>
      <c r="J48" s="11">
        <f>$D$21+($D$22-$D$21)*(J47-1)/9</f>
        <v/>
      </c>
      <c r="K48" s="11">
        <f>$D$21+($D$22-$D$21)*(K47-1)/9</f>
        <v/>
      </c>
      <c r="L48" s="11">
        <f>$D$21+($D$22-$D$21)*(L47-1)/9</f>
        <v/>
      </c>
    </row>
    <row r="49">
      <c r="A49" s="3" t="inlineStr">
        <is>
          <t>Revenue ($bn)</t>
        </is>
      </c>
      <c r="C49" s="17">
        <f>$B$7*(1+C48)</f>
        <v/>
      </c>
      <c r="D49" s="17">
        <f>C49*(1+D48)</f>
        <v/>
      </c>
      <c r="E49" s="17">
        <f>D49*(1+E48)</f>
        <v/>
      </c>
      <c r="F49" s="17">
        <f>E49*(1+F48)</f>
        <v/>
      </c>
      <c r="G49" s="17">
        <f>F49*(1+G48)</f>
        <v/>
      </c>
      <c r="H49" s="17">
        <f>G49*(1+H48)</f>
        <v/>
      </c>
      <c r="I49" s="17">
        <f>H49*(1+I48)</f>
        <v/>
      </c>
      <c r="J49" s="17">
        <f>I49*(1+J48)</f>
        <v/>
      </c>
      <c r="K49" s="17">
        <f>J49*(1+K48)</f>
        <v/>
      </c>
      <c r="L49" s="17">
        <f>K49*(1+L48)</f>
        <v/>
      </c>
    </row>
    <row r="50">
      <c r="A50" s="3" t="inlineStr">
        <is>
          <t>SBC-adjusted FCF margin</t>
        </is>
      </c>
      <c r="C50" s="11">
        <f>$B$16+($D$23-$B$16)*MIN(C47,$B$25)/$B$25</f>
        <v/>
      </c>
      <c r="D50" s="11">
        <f>$B$16+($D$23-$B$16)*MIN(D47,$B$25)/$B$25</f>
        <v/>
      </c>
      <c r="E50" s="11">
        <f>$B$16+($D$23-$B$16)*MIN(E47,$B$25)/$B$25</f>
        <v/>
      </c>
      <c r="F50" s="11">
        <f>$B$16+($D$23-$B$16)*MIN(F47,$B$25)/$B$25</f>
        <v/>
      </c>
      <c r="G50" s="11">
        <f>$B$16+($D$23-$B$16)*MIN(G47,$B$25)/$B$25</f>
        <v/>
      </c>
      <c r="H50" s="11">
        <f>$B$16+($D$23-$B$16)*MIN(H47,$B$25)/$B$25</f>
        <v/>
      </c>
      <c r="I50" s="11">
        <f>$B$16+($D$23-$B$16)*MIN(I47,$B$25)/$B$25</f>
        <v/>
      </c>
      <c r="J50" s="11">
        <f>$B$16+($D$23-$B$16)*MIN(J47,$B$25)/$B$25</f>
        <v/>
      </c>
      <c r="K50" s="11">
        <f>$B$16+($D$23-$B$16)*MIN(K47,$B$25)/$B$25</f>
        <v/>
      </c>
      <c r="L50" s="11">
        <f>$B$16+($D$23-$B$16)*MIN(L47,$B$25)/$B$25</f>
        <v/>
      </c>
    </row>
    <row r="51">
      <c r="A51" s="3" t="inlineStr">
        <is>
          <t>SBC-adjusted FCF ($bn)</t>
        </is>
      </c>
      <c r="C51" s="17">
        <f>C49*C50</f>
        <v/>
      </c>
      <c r="D51" s="17">
        <f>D49*D50</f>
        <v/>
      </c>
      <c r="E51" s="17">
        <f>E49*E50</f>
        <v/>
      </c>
      <c r="F51" s="17">
        <f>F49*F50</f>
        <v/>
      </c>
      <c r="G51" s="17">
        <f>G49*G50</f>
        <v/>
      </c>
      <c r="H51" s="17">
        <f>H49*H50</f>
        <v/>
      </c>
      <c r="I51" s="17">
        <f>I49*I50</f>
        <v/>
      </c>
      <c r="J51" s="17">
        <f>J49*J50</f>
        <v/>
      </c>
      <c r="K51" s="17">
        <f>K49*K50</f>
        <v/>
      </c>
      <c r="L51" s="17">
        <f>L49*L50</f>
        <v/>
      </c>
    </row>
    <row r="52">
      <c r="A52" s="3" t="inlineStr">
        <is>
          <t>Discount factor</t>
        </is>
      </c>
      <c r="C52" s="22">
        <f>1/(1+$B$13)^C47</f>
        <v/>
      </c>
      <c r="D52" s="22">
        <f>1/(1+$B$13)^D47</f>
        <v/>
      </c>
      <c r="E52" s="22">
        <f>1/(1+$B$13)^E47</f>
        <v/>
      </c>
      <c r="F52" s="22">
        <f>1/(1+$B$13)^F47</f>
        <v/>
      </c>
      <c r="G52" s="22">
        <f>1/(1+$B$13)^G47</f>
        <v/>
      </c>
      <c r="H52" s="22">
        <f>1/(1+$B$13)^H47</f>
        <v/>
      </c>
      <c r="I52" s="22">
        <f>1/(1+$B$13)^I47</f>
        <v/>
      </c>
      <c r="J52" s="22">
        <f>1/(1+$B$13)^J47</f>
        <v/>
      </c>
      <c r="K52" s="22">
        <f>1/(1+$B$13)^K47</f>
        <v/>
      </c>
      <c r="L52" s="22">
        <f>1/(1+$B$13)^L47</f>
        <v/>
      </c>
    </row>
    <row r="53">
      <c r="A53" s="3" t="inlineStr">
        <is>
          <t>Present value of FCF ($bn)</t>
        </is>
      </c>
      <c r="C53" s="17">
        <f>C51*C52</f>
        <v/>
      </c>
      <c r="D53" s="17">
        <f>D51*D52</f>
        <v/>
      </c>
      <c r="E53" s="17">
        <f>E51*E52</f>
        <v/>
      </c>
      <c r="F53" s="17">
        <f>F51*F52</f>
        <v/>
      </c>
      <c r="G53" s="17">
        <f>G51*G52</f>
        <v/>
      </c>
      <c r="H53" s="17">
        <f>H51*H52</f>
        <v/>
      </c>
      <c r="I53" s="17">
        <f>I51*I52</f>
        <v/>
      </c>
      <c r="J53" s="17">
        <f>J51*J52</f>
        <v/>
      </c>
      <c r="K53" s="17">
        <f>K51*K52</f>
        <v/>
      </c>
      <c r="L53" s="17">
        <f>L51*L52</f>
        <v/>
      </c>
    </row>
    <row r="56">
      <c r="A56" s="12" t="inlineStr">
        <is>
          <t>4. Valuation</t>
        </is>
      </c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</row>
    <row r="57">
      <c r="B57" s="5" t="inlineStr">
        <is>
          <t>Bear</t>
        </is>
      </c>
      <c r="C57" s="5" t="inlineStr">
        <is>
          <t>Base</t>
        </is>
      </c>
      <c r="D57" s="5" t="inlineStr">
        <is>
          <t>Bull</t>
        </is>
      </c>
    </row>
    <row r="58">
      <c r="A58" s="3" t="inlineStr">
        <is>
          <t>PV of years 1 to 10 FCF ($bn)</t>
        </is>
      </c>
      <c r="B58" s="17">
        <f>SUM(C35:L35)</f>
        <v/>
      </c>
      <c r="C58" s="17">
        <f>SUM(C44:L44)</f>
        <v/>
      </c>
      <c r="D58" s="17">
        <f>SUM(C53:L53)</f>
        <v/>
      </c>
    </row>
    <row r="59">
      <c r="A59" s="3" t="inlineStr">
        <is>
          <t>Terminal value at year 10 ($bn)</t>
        </is>
      </c>
      <c r="B59" s="17">
        <f>L33*(1+$B$14)/($B$13-$B$14)</f>
        <v/>
      </c>
      <c r="C59" s="17">
        <f>L42*(1+$B$14)/($B$13-$B$14)</f>
        <v/>
      </c>
      <c r="D59" s="17">
        <f>L51*(1+$B$14)/($B$13-$B$14)</f>
        <v/>
      </c>
    </row>
    <row r="60">
      <c r="A60" s="3" t="inlineStr">
        <is>
          <t>PV of terminal value ($bn)</t>
        </is>
      </c>
      <c r="B60" s="17">
        <f>B59*L34</f>
        <v/>
      </c>
      <c r="C60" s="17">
        <f>C59*L43</f>
        <v/>
      </c>
      <c r="D60" s="17">
        <f>D59*L52</f>
        <v/>
      </c>
    </row>
    <row r="61">
      <c r="A61" s="3" t="inlineStr">
        <is>
          <t>Enterprise value ($bn)</t>
        </is>
      </c>
      <c r="B61" s="17">
        <f>B58+B60</f>
        <v/>
      </c>
      <c r="C61" s="17">
        <f>C58+C60</f>
        <v/>
      </c>
      <c r="D61" s="17">
        <f>D58+D60</f>
        <v/>
      </c>
    </row>
    <row r="62">
      <c r="A62" s="3" t="inlineStr">
        <is>
          <t>Equity value incl. adjusted net cash ($bn)</t>
        </is>
      </c>
      <c r="B62" s="17">
        <f>B61+$B$17</f>
        <v/>
      </c>
      <c r="C62" s="17">
        <f>C61+$B$17</f>
        <v/>
      </c>
      <c r="D62" s="17">
        <f>D61+$B$17</f>
        <v/>
      </c>
    </row>
    <row r="63">
      <c r="A63" s="3" t="inlineStr">
        <is>
          <t>Value per share (US$)</t>
        </is>
      </c>
      <c r="B63" s="23">
        <f>B62/$B$6</f>
        <v/>
      </c>
      <c r="C63" s="23">
        <f>C62/$B$6</f>
        <v/>
      </c>
      <c r="D63" s="23">
        <f>D62/$B$6</f>
        <v/>
      </c>
    </row>
    <row r="64">
      <c r="A64" s="3" t="inlineStr">
        <is>
          <t>Terminal value as share of EV</t>
        </is>
      </c>
      <c r="B64" s="11">
        <f>B60/B61</f>
        <v/>
      </c>
      <c r="C64" s="11">
        <f>C60/C61</f>
        <v/>
      </c>
      <c r="D64" s="11">
        <f>D60/D61</f>
        <v/>
      </c>
    </row>
    <row r="66">
      <c r="A66" s="6" t="inlineStr">
        <is>
          <t>Probability-weighted fair value (US$)</t>
        </is>
      </c>
      <c r="B66" s="23">
        <f>SUMPRODUCT(B63:D63,B24:D24)</f>
        <v/>
      </c>
    </row>
    <row r="67">
      <c r="A67" s="3" t="inlineStr">
        <is>
          <t>Buy-below price after margin of safety (US$)</t>
        </is>
      </c>
      <c r="B67" s="24">
        <f>B66*(1-B15)</f>
        <v/>
      </c>
    </row>
    <row r="68">
      <c r="A68" s="3" t="inlineStr">
        <is>
          <t>Current price (US$)</t>
        </is>
      </c>
      <c r="B68" s="24">
        <f>B5</f>
        <v/>
      </c>
    </row>
    <row r="69">
      <c r="A69" s="3" t="inlineStr">
        <is>
          <t>Price vs fair value (positive = price above value)</t>
        </is>
      </c>
      <c r="B69" s="11">
        <f>B68/B66-1</f>
        <v/>
      </c>
    </row>
    <row r="70">
      <c r="A70" s="6" t="inlineStr">
        <is>
          <t>Status</t>
        </is>
      </c>
      <c r="B70" s="6">
        <f>IF(B68&lt;=B67,"Attractive",IF(B68&lt;=B66*(1-B15/2),"Potentially interesting",IF(B68&lt;=B66,"Little margin of safety","Above estimated value")))</f>
        <v/>
      </c>
    </row>
    <row r="71">
      <c r="A71" s="3" t="inlineStr">
        <is>
          <t>No-growth value per share (earnings power value, US$)</t>
        </is>
      </c>
      <c r="B71" s="24">
        <f>(B7*C23/B13+B17)/B6</f>
        <v/>
      </c>
    </row>
    <row r="72">
      <c r="A72" s="3" t="inlineStr">
        <is>
          <t>Implied annual return at today's price (base case)</t>
        </is>
      </c>
      <c r="B72" s="25">
        <f>IFERROR(INDEX($C$84:$L$84,MATCH($B$5,$C$85:$L$85,-1))+(INDEX($C$85:$L$85,MATCH($B$5,$C$85:$L$85,-1))-$B$5)/(INDEX($C$85:$L$85,MATCH($B$5,$C$85:$L$85,-1))-INDEX($C$85:$L$85,MATCH($B$5,$C$85:$L$85,-1)+1))*($D$84-$C$84),"outside grid")</f>
        <v/>
      </c>
      <c r="C72" s="2" t="inlineStr">
        <is>
          <t>Interpolated from the helper table in section 6 (accurate to about 0.1 point).</t>
        </is>
      </c>
    </row>
    <row r="73">
      <c r="A73" s="3" t="inlineStr">
        <is>
          <t>Year-1 revenue growth needed to justify price (goal-seek result)</t>
        </is>
      </c>
      <c r="B73" s="4" t="n">
        <v>0.2634319067001343</v>
      </c>
      <c r="C73" s="2" t="inlineStr">
        <is>
          <t>Solved with a goal-seek in the model script (base margin, growth fading to base year-10 rate). Re-run if inputs change.</t>
        </is>
      </c>
    </row>
    <row r="75">
      <c r="A75" s="12" t="inlineStr">
        <is>
          <t>5. Sensitivity: base-case value per share (US$) by required return and terminal growth</t>
        </is>
      </c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</row>
    <row r="76">
      <c r="A76" s="6" t="inlineStr">
        <is>
          <t>Required return (down) / terminal growth (across)</t>
        </is>
      </c>
      <c r="C76" s="25">
        <f>$B$14+(-0.01)</f>
        <v/>
      </c>
      <c r="D76" s="25">
        <f>$B$14+(-0.005)</f>
        <v/>
      </c>
      <c r="E76" s="25">
        <f>$B$14+(0)</f>
        <v/>
      </c>
      <c r="F76" s="25">
        <f>$B$14+(0.005)</f>
        <v/>
      </c>
      <c r="G76" s="25">
        <f>$B$14+(0.01)</f>
        <v/>
      </c>
    </row>
    <row r="77">
      <c r="B77" s="25">
        <f>$B$13+(-0.02)</f>
        <v/>
      </c>
      <c r="C77" s="24">
        <f>(SUMPRODUCT($C$42:$L$42/(1+$B77)^$C$38:$L$38)+$L$42*(1+C$76)/($B77-C$76)/(1+$B77)^$L$38+$B$17)/$B$6</f>
        <v/>
      </c>
      <c r="D77" s="24">
        <f>(SUMPRODUCT($C$42:$L$42/(1+$B77)^$C$38:$L$38)+$L$42*(1+D$76)/($B77-D$76)/(1+$B77)^$L$38+$B$17)/$B$6</f>
        <v/>
      </c>
      <c r="E77" s="24">
        <f>(SUMPRODUCT($C$42:$L$42/(1+$B77)^$C$38:$L$38)+$L$42*(1+E$76)/($B77-E$76)/(1+$B77)^$L$38+$B$17)/$B$6</f>
        <v/>
      </c>
      <c r="F77" s="24">
        <f>(SUMPRODUCT($C$42:$L$42/(1+$B77)^$C$38:$L$38)+$L$42*(1+F$76)/($B77-F$76)/(1+$B77)^$L$38+$B$17)/$B$6</f>
        <v/>
      </c>
      <c r="G77" s="24">
        <f>(SUMPRODUCT($C$42:$L$42/(1+$B77)^$C$38:$L$38)+$L$42*(1+G$76)/($B77-G$76)/(1+$B77)^$L$38+$B$17)/$B$6</f>
        <v/>
      </c>
    </row>
    <row r="78">
      <c r="B78" s="25">
        <f>$B$13+(-0.01)</f>
        <v/>
      </c>
      <c r="C78" s="24">
        <f>(SUMPRODUCT($C$42:$L$42/(1+$B78)^$C$38:$L$38)+$L$42*(1+C$76)/($B78-C$76)/(1+$B78)^$L$38+$B$17)/$B$6</f>
        <v/>
      </c>
      <c r="D78" s="24">
        <f>(SUMPRODUCT($C$42:$L$42/(1+$B78)^$C$38:$L$38)+$L$42*(1+D$76)/($B78-D$76)/(1+$B78)^$L$38+$B$17)/$B$6</f>
        <v/>
      </c>
      <c r="E78" s="24">
        <f>(SUMPRODUCT($C$42:$L$42/(1+$B78)^$C$38:$L$38)+$L$42*(1+E$76)/($B78-E$76)/(1+$B78)^$L$38+$B$17)/$B$6</f>
        <v/>
      </c>
      <c r="F78" s="24">
        <f>(SUMPRODUCT($C$42:$L$42/(1+$B78)^$C$38:$L$38)+$L$42*(1+F$76)/($B78-F$76)/(1+$B78)^$L$38+$B$17)/$B$6</f>
        <v/>
      </c>
      <c r="G78" s="24">
        <f>(SUMPRODUCT($C$42:$L$42/(1+$B78)^$C$38:$L$38)+$L$42*(1+G$76)/($B78-G$76)/(1+$B78)^$L$38+$B$17)/$B$6</f>
        <v/>
      </c>
    </row>
    <row r="79">
      <c r="B79" s="25">
        <f>$B$13+(0)</f>
        <v/>
      </c>
      <c r="C79" s="24">
        <f>(SUMPRODUCT($C$42:$L$42/(1+$B79)^$C$38:$L$38)+$L$42*(1+C$76)/($B79-C$76)/(1+$B79)^$L$38+$B$17)/$B$6</f>
        <v/>
      </c>
      <c r="D79" s="24">
        <f>(SUMPRODUCT($C$42:$L$42/(1+$B79)^$C$38:$L$38)+$L$42*(1+D$76)/($B79-D$76)/(1+$B79)^$L$38+$B$17)/$B$6</f>
        <v/>
      </c>
      <c r="E79" s="26">
        <f>(SUMPRODUCT($C$42:$L$42/(1+$B79)^$C$38:$L$38)+$L$42*(1+E$76)/($B79-E$76)/(1+$B79)^$L$38+$B$17)/$B$6</f>
        <v/>
      </c>
      <c r="F79" s="24">
        <f>(SUMPRODUCT($C$42:$L$42/(1+$B79)^$C$38:$L$38)+$L$42*(1+F$76)/($B79-F$76)/(1+$B79)^$L$38+$B$17)/$B$6</f>
        <v/>
      </c>
      <c r="G79" s="24">
        <f>(SUMPRODUCT($C$42:$L$42/(1+$B79)^$C$38:$L$38)+$L$42*(1+G$76)/($B79-G$76)/(1+$B79)^$L$38+$B$17)/$B$6</f>
        <v/>
      </c>
    </row>
    <row r="80">
      <c r="B80" s="25">
        <f>$B$13+(0.01)</f>
        <v/>
      </c>
      <c r="C80" s="24">
        <f>(SUMPRODUCT($C$42:$L$42/(1+$B80)^$C$38:$L$38)+$L$42*(1+C$76)/($B80-C$76)/(1+$B80)^$L$38+$B$17)/$B$6</f>
        <v/>
      </c>
      <c r="D80" s="24">
        <f>(SUMPRODUCT($C$42:$L$42/(1+$B80)^$C$38:$L$38)+$L$42*(1+D$76)/($B80-D$76)/(1+$B80)^$L$38+$B$17)/$B$6</f>
        <v/>
      </c>
      <c r="E80" s="24">
        <f>(SUMPRODUCT($C$42:$L$42/(1+$B80)^$C$38:$L$38)+$L$42*(1+E$76)/($B80-E$76)/(1+$B80)^$L$38+$B$17)/$B$6</f>
        <v/>
      </c>
      <c r="F80" s="24">
        <f>(SUMPRODUCT($C$42:$L$42/(1+$B80)^$C$38:$L$38)+$L$42*(1+F$76)/($B80-F$76)/(1+$B80)^$L$38+$B$17)/$B$6</f>
        <v/>
      </c>
      <c r="G80" s="24">
        <f>(SUMPRODUCT($C$42:$L$42/(1+$B80)^$C$38:$L$38)+$L$42*(1+G$76)/($B80-G$76)/(1+$B80)^$L$38+$B$17)/$B$6</f>
        <v/>
      </c>
    </row>
    <row r="81">
      <c r="B81" s="25">
        <f>$B$13+(0.02)</f>
        <v/>
      </c>
      <c r="C81" s="24">
        <f>(SUMPRODUCT($C$42:$L$42/(1+$B81)^$C$38:$L$38)+$L$42*(1+C$76)/($B81-C$76)/(1+$B81)^$L$38+$B$17)/$B$6</f>
        <v/>
      </c>
      <c r="D81" s="24">
        <f>(SUMPRODUCT($C$42:$L$42/(1+$B81)^$C$38:$L$38)+$L$42*(1+D$76)/($B81-D$76)/(1+$B81)^$L$38+$B$17)/$B$6</f>
        <v/>
      </c>
      <c r="E81" s="24">
        <f>(SUMPRODUCT($C$42:$L$42/(1+$B81)^$C$38:$L$38)+$L$42*(1+E$76)/($B81-E$76)/(1+$B81)^$L$38+$B$17)/$B$6</f>
        <v/>
      </c>
      <c r="F81" s="24">
        <f>(SUMPRODUCT($C$42:$L$42/(1+$B81)^$C$38:$L$38)+$L$42*(1+F$76)/($B81-F$76)/(1+$B81)^$L$38+$B$17)/$B$6</f>
        <v/>
      </c>
      <c r="G81" s="24">
        <f>(SUMPRODUCT($C$42:$L$42/(1+$B81)^$C$38:$L$38)+$L$42*(1+G$76)/($B81-G$76)/(1+$B81)^$L$38+$B$17)/$B$6</f>
        <v/>
      </c>
    </row>
    <row r="83">
      <c r="A83" s="12" t="inlineStr">
        <is>
          <t>6. Helper: base-case value at different required returns (used for the implied return above)</t>
        </is>
      </c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</row>
    <row r="84">
      <c r="A84" s="3" t="inlineStr">
        <is>
          <t>Required return</t>
        </is>
      </c>
      <c r="C84" s="4" t="n">
        <v>0.035</v>
      </c>
      <c r="D84" s="11">
        <f>C84+0.01</f>
        <v/>
      </c>
      <c r="E84" s="11">
        <f>D84+0.01</f>
        <v/>
      </c>
      <c r="F84" s="11">
        <f>E84+0.01</f>
        <v/>
      </c>
      <c r="G84" s="11">
        <f>F84+0.01</f>
        <v/>
      </c>
      <c r="H84" s="11">
        <f>G84+0.01</f>
        <v/>
      </c>
      <c r="I84" s="11">
        <f>H84+0.01</f>
        <v/>
      </c>
      <c r="J84" s="11">
        <f>I84+0.01</f>
        <v/>
      </c>
      <c r="K84" s="11">
        <f>J84+0.01</f>
        <v/>
      </c>
      <c r="L84" s="11">
        <f>K84+0.01</f>
        <v/>
      </c>
    </row>
    <row r="85">
      <c r="A85" s="3" t="inlineStr">
        <is>
          <t>Base-case value per share (US$)</t>
        </is>
      </c>
      <c r="C85" s="24">
        <f>(SUMPRODUCT($C$42:$L$42/(1+C84)^$C$38:$L$38)+$L$42*(1+$B$14)/(C84-$B$14)/(1+C84)^$L$38+$B$17)/$B$6</f>
        <v/>
      </c>
      <c r="D85" s="24">
        <f>(SUMPRODUCT($C$42:$L$42/(1+D84)^$C$38:$L$38)+$L$42*(1+$B$14)/(D84-$B$14)/(1+D84)^$L$38+$B$17)/$B$6</f>
        <v/>
      </c>
      <c r="E85" s="24">
        <f>(SUMPRODUCT($C$42:$L$42/(1+E84)^$C$38:$L$38)+$L$42*(1+$B$14)/(E84-$B$14)/(1+E84)^$L$38+$B$17)/$B$6</f>
        <v/>
      </c>
      <c r="F85" s="24">
        <f>(SUMPRODUCT($C$42:$L$42/(1+F84)^$C$38:$L$38)+$L$42*(1+$B$14)/(F84-$B$14)/(1+F84)^$L$38+$B$17)/$B$6</f>
        <v/>
      </c>
      <c r="G85" s="24">
        <f>(SUMPRODUCT($C$42:$L$42/(1+G84)^$C$38:$L$38)+$L$42*(1+$B$14)/(G84-$B$14)/(1+G84)^$L$38+$B$17)/$B$6</f>
        <v/>
      </c>
      <c r="H85" s="24">
        <f>(SUMPRODUCT($C$42:$L$42/(1+H84)^$C$38:$L$38)+$L$42*(1+$B$14)/(H84-$B$14)/(1+H84)^$L$38+$B$17)/$B$6</f>
        <v/>
      </c>
      <c r="I85" s="24">
        <f>(SUMPRODUCT($C$42:$L$42/(1+I84)^$C$38:$L$38)+$L$42*(1+$B$14)/(I84-$B$14)/(1+I84)^$L$38+$B$17)/$B$6</f>
        <v/>
      </c>
      <c r="J85" s="24">
        <f>(SUMPRODUCT($C$42:$L$42/(1+J84)^$C$38:$L$38)+$L$42*(1+$B$14)/(J84-$B$14)/(1+J84)^$L$38+$B$17)/$B$6</f>
        <v/>
      </c>
      <c r="K85" s="24">
        <f>(SUMPRODUCT($C$42:$L$42/(1+K84)^$C$38:$L$38)+$L$42*(1+$B$14)/(K84-$B$14)/(1+K84)^$L$38+$B$17)/$B$6</f>
        <v/>
      </c>
      <c r="L85" s="24">
        <f>(SUMPRODUCT($C$42:$L$42/(1+L84)^$C$38:$L$38)+$L$42*(1+$B$14)/(L84-$B$14)/(1+L84)^$L$38+$B$17)/$B$6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MSFT: Microsoft Corp.</t>
        </is>
      </c>
    </row>
    <row r="2">
      <c r="A2" s="2" t="inlineStr">
        <is>
          <t>Blue = input you can change. Black = formula. Green = link to another tab. US$ billions unless stated; per-share values in US$.</t>
        </is>
      </c>
    </row>
    <row r="4">
      <c r="A4" s="12" t="inlineStr">
        <is>
          <t>1. Inputs (market data as of 14 Oct 2026 close; financials from latest filings)</t>
        </is>
      </c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</row>
    <row r="5">
      <c r="A5" s="3" t="inlineStr">
        <is>
          <t>Share price (US$)</t>
        </is>
      </c>
      <c r="B5" s="14" t="n">
        <v>533.6900000000001</v>
      </c>
      <c r="C5" s="2" t="inlineStr">
        <is>
          <t>Close 14 Oct 2026, StockAnalysis.com (S&amp;P Global data)</t>
        </is>
      </c>
    </row>
    <row r="6">
      <c r="A6" s="3" t="inlineStr">
        <is>
          <t>Shares outstanding (bn)</t>
        </is>
      </c>
      <c r="B6" s="15" t="n">
        <v>7.43</v>
      </c>
      <c r="C6" s="2" t="inlineStr">
        <is>
          <t>Microsoft 10-Q: 7.428bn shares at 23 Apr 2026</t>
        </is>
      </c>
    </row>
    <row r="7">
      <c r="A7" s="3" t="inlineStr">
        <is>
          <t>TTM revenue ($bn)</t>
        </is>
      </c>
      <c r="B7" s="16" t="n">
        <v>331.3</v>
      </c>
      <c r="C7" s="2" t="inlineStr">
        <is>
          <t>FY2026 (to 30 Jun 2026): revenue just over $331bn, Q4 earnings call</t>
        </is>
      </c>
    </row>
    <row r="8">
      <c r="A8" s="3" t="inlineStr">
        <is>
          <t>TTM free cash flow ($bn)</t>
        </is>
      </c>
      <c r="B8" s="16" t="n">
        <v>66.98699999999999</v>
      </c>
      <c r="C8" s="2" t="inlineStr">
        <is>
          <t>FY2026: operating cash flow $182.9bn less capex $115.9bn (StockAnalysis.com)</t>
        </is>
      </c>
    </row>
    <row r="9">
      <c r="A9" s="3" t="inlineStr">
        <is>
          <t>TTM stock-based compensation ($bn)</t>
        </is>
      </c>
      <c r="B9" s="16" t="n">
        <v>12.405</v>
      </c>
      <c r="C9" s="2" t="inlineStr">
        <is>
          <t>FY2026, StockAnalysis.com: $12.4bn</t>
        </is>
      </c>
    </row>
    <row r="10">
      <c r="A10" s="3" t="inlineStr">
        <is>
          <t>Net cash / (debt) ($bn)</t>
        </is>
      </c>
      <c r="B10" s="16" t="n">
        <v>20</v>
      </c>
      <c r="C10" s="2" t="inlineStr">
        <is>
          <t>StockAnalysis.com, 30 Jun 2026: cash $76.8bn less debt $56.8bn. Finance leases partly excluded.</t>
        </is>
      </c>
    </row>
    <row r="11">
      <c r="A11" s="3" t="inlineStr">
        <is>
          <t>Other assets at book value ($bn)</t>
        </is>
      </c>
      <c r="B11" s="16" t="n">
        <v>0</v>
      </c>
      <c r="C11" s="2" t="inlineStr">
        <is>
          <t>None</t>
        </is>
      </c>
    </row>
    <row r="12">
      <c r="A12" s="3" t="inlineStr">
        <is>
          <t>Haircut applied to other assets</t>
        </is>
      </c>
      <c r="B12" s="4" t="n">
        <v>0</v>
      </c>
      <c r="C12" s="2" t="inlineStr">
        <is>
          <t>Judgement: private stakes valued at half of book</t>
        </is>
      </c>
    </row>
    <row r="13">
      <c r="A13" s="3" t="inlineStr">
        <is>
          <t>Required annual return</t>
        </is>
      </c>
      <c r="B13" s="4" t="n">
        <v>0.09</v>
      </c>
      <c r="C13" s="2" t="inlineStr">
        <is>
          <t>10-yr Treasury ~5.2% (Oct 2026) plus an equity premium of about 3.8 to 5.3 points</t>
        </is>
      </c>
    </row>
    <row r="14">
      <c r="A14" s="3" t="inlineStr">
        <is>
          <t>Terminal growth rate</t>
        </is>
      </c>
      <c r="B14" s="4" t="n">
        <v>0.025</v>
      </c>
      <c r="C14" s="2" t="inlineStr">
        <is>
          <t>Below long-run nominal GDP growth</t>
        </is>
      </c>
    </row>
    <row r="15">
      <c r="A15" s="3" t="inlineStr">
        <is>
          <t>Margin of safety</t>
        </is>
      </c>
      <c r="B15" s="4" t="n">
        <v>0.25</v>
      </c>
      <c r="C15" s="2" t="inlineStr">
        <is>
          <t>Wider for businesses whose free cash flow is currently depressed or uncertain</t>
        </is>
      </c>
    </row>
    <row r="16">
      <c r="A16" s="3" t="inlineStr">
        <is>
          <t>Current SBC-adjusted FCF margin</t>
        </is>
      </c>
      <c r="B16" s="11">
        <f>(B8-B9)/B7</f>
        <v/>
      </c>
      <c r="C16" s="2" t="inlineStr">
        <is>
          <t>(FCF minus stock-based compensation) divided by revenue</t>
        </is>
      </c>
    </row>
    <row r="17">
      <c r="A17" s="3" t="inlineStr">
        <is>
          <t>Adjusted net cash ($bn)</t>
        </is>
      </c>
      <c r="B17" s="17">
        <f>B10+B11*(1-B12)</f>
        <v/>
      </c>
    </row>
    <row r="19">
      <c r="A19" s="12" t="inlineStr">
        <is>
          <t>2. Scenario assumptions</t>
        </is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</row>
    <row r="20">
      <c r="B20" s="5" t="inlineStr">
        <is>
          <t>Bear</t>
        </is>
      </c>
      <c r="C20" s="5" t="inlineStr">
        <is>
          <t>Base</t>
        </is>
      </c>
      <c r="D20" s="5" t="inlineStr">
        <is>
          <t>Bull</t>
        </is>
      </c>
    </row>
    <row r="21">
      <c r="A21" s="3" t="inlineStr">
        <is>
          <t>Revenue growth, year 1</t>
        </is>
      </c>
      <c r="B21" s="4" t="n">
        <v>0.12</v>
      </c>
      <c r="C21" s="4" t="n">
        <v>0.17</v>
      </c>
      <c r="D21" s="4" t="n">
        <v>0.2</v>
      </c>
    </row>
    <row r="22">
      <c r="A22" s="3" t="inlineStr">
        <is>
          <t>Revenue growth, year 10</t>
        </is>
      </c>
      <c r="B22" s="4" t="n">
        <v>0.035</v>
      </c>
      <c r="C22" s="4" t="n">
        <v>0.05</v>
      </c>
      <c r="D22" s="4" t="n">
        <v>0.06</v>
      </c>
    </row>
    <row r="23">
      <c r="A23" s="3" t="inlineStr">
        <is>
          <t>Target SBC-adjusted FCF margin</t>
        </is>
      </c>
      <c r="B23" s="4" t="n">
        <v>0.18</v>
      </c>
      <c r="C23" s="4" t="n">
        <v>0.25</v>
      </c>
      <c r="D23" s="4" t="n">
        <v>0.29</v>
      </c>
    </row>
    <row r="24">
      <c r="A24" s="3" t="inlineStr">
        <is>
          <t>Probability</t>
        </is>
      </c>
      <c r="B24" s="18" t="n">
        <v>0.3</v>
      </c>
      <c r="C24" s="18" t="n">
        <v>0.5</v>
      </c>
      <c r="D24" s="18" t="n">
        <v>0.2</v>
      </c>
      <c r="E24" s="19">
        <f>IF(ROUND(SUM(B24:D24),6)=1,"OK: sums to 100%","Probabilities must sum to 100%")</f>
        <v/>
      </c>
    </row>
    <row r="25">
      <c r="A25" s="3" t="inlineStr">
        <is>
          <t>Years to reach target margin</t>
        </is>
      </c>
      <c r="B25" s="20" t="n">
        <v>5</v>
      </c>
      <c r="C25" s="2" t="inlineStr">
        <is>
          <t>Growth fades in a straight line from year 1 to year 10; margin moves in a straight line to target.</t>
        </is>
      </c>
    </row>
    <row r="27">
      <c r="A27" s="12" t="inlineStr">
        <is>
          <t>3. Ten-year projection (growth fades linearly; value of years beyond year 10 is captured by the terminal value)</t>
        </is>
      </c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</row>
    <row r="28">
      <c r="A28" s="6" t="inlineStr">
        <is>
          <t>Bear case</t>
        </is>
      </c>
      <c r="C28" s="5" t="inlineStr">
        <is>
          <t>Y1</t>
        </is>
      </c>
      <c r="D28" s="5" t="inlineStr">
        <is>
          <t>Y2</t>
        </is>
      </c>
      <c r="E28" s="5" t="inlineStr">
        <is>
          <t>Y3</t>
        </is>
      </c>
      <c r="F28" s="5" t="inlineStr">
        <is>
          <t>Y4</t>
        </is>
      </c>
      <c r="G28" s="5" t="inlineStr">
        <is>
          <t>Y5</t>
        </is>
      </c>
      <c r="H28" s="5" t="inlineStr">
        <is>
          <t>Y6</t>
        </is>
      </c>
      <c r="I28" s="5" t="inlineStr">
        <is>
          <t>Y7</t>
        </is>
      </c>
      <c r="J28" s="5" t="inlineStr">
        <is>
          <t>Y8</t>
        </is>
      </c>
      <c r="K28" s="5" t="inlineStr">
        <is>
          <t>Y9</t>
        </is>
      </c>
      <c r="L28" s="5" t="inlineStr">
        <is>
          <t>Y10</t>
        </is>
      </c>
    </row>
    <row r="29">
      <c r="A29" s="3" t="inlineStr">
        <is>
          <t>Year index</t>
        </is>
      </c>
      <c r="C29" s="21" t="n">
        <v>1</v>
      </c>
      <c r="D29" s="21" t="n">
        <v>2</v>
      </c>
      <c r="E29" s="21" t="n">
        <v>3</v>
      </c>
      <c r="F29" s="21" t="n">
        <v>4</v>
      </c>
      <c r="G29" s="21" t="n">
        <v>5</v>
      </c>
      <c r="H29" s="21" t="n">
        <v>6</v>
      </c>
      <c r="I29" s="21" t="n">
        <v>7</v>
      </c>
      <c r="J29" s="21" t="n">
        <v>8</v>
      </c>
      <c r="K29" s="21" t="n">
        <v>9</v>
      </c>
      <c r="L29" s="21" t="n">
        <v>10</v>
      </c>
    </row>
    <row r="30">
      <c r="A30" s="3" t="inlineStr">
        <is>
          <t>Revenue growth</t>
        </is>
      </c>
      <c r="C30" s="11">
        <f>$B$21+($B$22-$B$21)*(C29-1)/9</f>
        <v/>
      </c>
      <c r="D30" s="11">
        <f>$B$21+($B$22-$B$21)*(D29-1)/9</f>
        <v/>
      </c>
      <c r="E30" s="11">
        <f>$B$21+($B$22-$B$21)*(E29-1)/9</f>
        <v/>
      </c>
      <c r="F30" s="11">
        <f>$B$21+($B$22-$B$21)*(F29-1)/9</f>
        <v/>
      </c>
      <c r="G30" s="11">
        <f>$B$21+($B$22-$B$21)*(G29-1)/9</f>
        <v/>
      </c>
      <c r="H30" s="11">
        <f>$B$21+($B$22-$B$21)*(H29-1)/9</f>
        <v/>
      </c>
      <c r="I30" s="11">
        <f>$B$21+($B$22-$B$21)*(I29-1)/9</f>
        <v/>
      </c>
      <c r="J30" s="11">
        <f>$B$21+($B$22-$B$21)*(J29-1)/9</f>
        <v/>
      </c>
      <c r="K30" s="11">
        <f>$B$21+($B$22-$B$21)*(K29-1)/9</f>
        <v/>
      </c>
      <c r="L30" s="11">
        <f>$B$21+($B$22-$B$21)*(L29-1)/9</f>
        <v/>
      </c>
    </row>
    <row r="31">
      <c r="A31" s="3" t="inlineStr">
        <is>
          <t>Revenue ($bn)</t>
        </is>
      </c>
      <c r="C31" s="17">
        <f>$B$7*(1+C30)</f>
        <v/>
      </c>
      <c r="D31" s="17">
        <f>C31*(1+D30)</f>
        <v/>
      </c>
      <c r="E31" s="17">
        <f>D31*(1+E30)</f>
        <v/>
      </c>
      <c r="F31" s="17">
        <f>E31*(1+F30)</f>
        <v/>
      </c>
      <c r="G31" s="17">
        <f>F31*(1+G30)</f>
        <v/>
      </c>
      <c r="H31" s="17">
        <f>G31*(1+H30)</f>
        <v/>
      </c>
      <c r="I31" s="17">
        <f>H31*(1+I30)</f>
        <v/>
      </c>
      <c r="J31" s="17">
        <f>I31*(1+J30)</f>
        <v/>
      </c>
      <c r="K31" s="17">
        <f>J31*(1+K30)</f>
        <v/>
      </c>
      <c r="L31" s="17">
        <f>K31*(1+L30)</f>
        <v/>
      </c>
    </row>
    <row r="32">
      <c r="A32" s="3" t="inlineStr">
        <is>
          <t>SBC-adjusted FCF margin</t>
        </is>
      </c>
      <c r="C32" s="11">
        <f>$B$16+($B$23-$B$16)*MIN(C29,$B$25)/$B$25</f>
        <v/>
      </c>
      <c r="D32" s="11">
        <f>$B$16+($B$23-$B$16)*MIN(D29,$B$25)/$B$25</f>
        <v/>
      </c>
      <c r="E32" s="11">
        <f>$B$16+($B$23-$B$16)*MIN(E29,$B$25)/$B$25</f>
        <v/>
      </c>
      <c r="F32" s="11">
        <f>$B$16+($B$23-$B$16)*MIN(F29,$B$25)/$B$25</f>
        <v/>
      </c>
      <c r="G32" s="11">
        <f>$B$16+($B$23-$B$16)*MIN(G29,$B$25)/$B$25</f>
        <v/>
      </c>
      <c r="H32" s="11">
        <f>$B$16+($B$23-$B$16)*MIN(H29,$B$25)/$B$25</f>
        <v/>
      </c>
      <c r="I32" s="11">
        <f>$B$16+($B$23-$B$16)*MIN(I29,$B$25)/$B$25</f>
        <v/>
      </c>
      <c r="J32" s="11">
        <f>$B$16+($B$23-$B$16)*MIN(J29,$B$25)/$B$25</f>
        <v/>
      </c>
      <c r="K32" s="11">
        <f>$B$16+($B$23-$B$16)*MIN(K29,$B$25)/$B$25</f>
        <v/>
      </c>
      <c r="L32" s="11">
        <f>$B$16+($B$23-$B$16)*MIN(L29,$B$25)/$B$25</f>
        <v/>
      </c>
    </row>
    <row r="33">
      <c r="A33" s="3" t="inlineStr">
        <is>
          <t>SBC-adjusted FCF ($bn)</t>
        </is>
      </c>
      <c r="C33" s="17">
        <f>C31*C32</f>
        <v/>
      </c>
      <c r="D33" s="17">
        <f>D31*D32</f>
        <v/>
      </c>
      <c r="E33" s="17">
        <f>E31*E32</f>
        <v/>
      </c>
      <c r="F33" s="17">
        <f>F31*F32</f>
        <v/>
      </c>
      <c r="G33" s="17">
        <f>G31*G32</f>
        <v/>
      </c>
      <c r="H33" s="17">
        <f>H31*H32</f>
        <v/>
      </c>
      <c r="I33" s="17">
        <f>I31*I32</f>
        <v/>
      </c>
      <c r="J33" s="17">
        <f>J31*J32</f>
        <v/>
      </c>
      <c r="K33" s="17">
        <f>K31*K32</f>
        <v/>
      </c>
      <c r="L33" s="17">
        <f>L31*L32</f>
        <v/>
      </c>
    </row>
    <row r="34">
      <c r="A34" s="3" t="inlineStr">
        <is>
          <t>Discount factor</t>
        </is>
      </c>
      <c r="C34" s="22">
        <f>1/(1+$B$13)^C29</f>
        <v/>
      </c>
      <c r="D34" s="22">
        <f>1/(1+$B$13)^D29</f>
        <v/>
      </c>
      <c r="E34" s="22">
        <f>1/(1+$B$13)^E29</f>
        <v/>
      </c>
      <c r="F34" s="22">
        <f>1/(1+$B$13)^F29</f>
        <v/>
      </c>
      <c r="G34" s="22">
        <f>1/(1+$B$13)^G29</f>
        <v/>
      </c>
      <c r="H34" s="22">
        <f>1/(1+$B$13)^H29</f>
        <v/>
      </c>
      <c r="I34" s="22">
        <f>1/(1+$B$13)^I29</f>
        <v/>
      </c>
      <c r="J34" s="22">
        <f>1/(1+$B$13)^J29</f>
        <v/>
      </c>
      <c r="K34" s="22">
        <f>1/(1+$B$13)^K29</f>
        <v/>
      </c>
      <c r="L34" s="22">
        <f>1/(1+$B$13)^L29</f>
        <v/>
      </c>
    </row>
    <row r="35">
      <c r="A35" s="3" t="inlineStr">
        <is>
          <t>Present value of FCF ($bn)</t>
        </is>
      </c>
      <c r="C35" s="17">
        <f>C33*C34</f>
        <v/>
      </c>
      <c r="D35" s="17">
        <f>D33*D34</f>
        <v/>
      </c>
      <c r="E35" s="17">
        <f>E33*E34</f>
        <v/>
      </c>
      <c r="F35" s="17">
        <f>F33*F34</f>
        <v/>
      </c>
      <c r="G35" s="17">
        <f>G33*G34</f>
        <v/>
      </c>
      <c r="H35" s="17">
        <f>H33*H34</f>
        <v/>
      </c>
      <c r="I35" s="17">
        <f>I33*I34</f>
        <v/>
      </c>
      <c r="J35" s="17">
        <f>J33*J34</f>
        <v/>
      </c>
      <c r="K35" s="17">
        <f>K33*K34</f>
        <v/>
      </c>
      <c r="L35" s="17">
        <f>L33*L34</f>
        <v/>
      </c>
    </row>
    <row r="37">
      <c r="A37" s="6" t="inlineStr">
        <is>
          <t>Base case</t>
        </is>
      </c>
      <c r="C37" s="5" t="inlineStr">
        <is>
          <t>Y1</t>
        </is>
      </c>
      <c r="D37" s="5" t="inlineStr">
        <is>
          <t>Y2</t>
        </is>
      </c>
      <c r="E37" s="5" t="inlineStr">
        <is>
          <t>Y3</t>
        </is>
      </c>
      <c r="F37" s="5" t="inlineStr">
        <is>
          <t>Y4</t>
        </is>
      </c>
      <c r="G37" s="5" t="inlineStr">
        <is>
          <t>Y5</t>
        </is>
      </c>
      <c r="H37" s="5" t="inlineStr">
        <is>
          <t>Y6</t>
        </is>
      </c>
      <c r="I37" s="5" t="inlineStr">
        <is>
          <t>Y7</t>
        </is>
      </c>
      <c r="J37" s="5" t="inlineStr">
        <is>
          <t>Y8</t>
        </is>
      </c>
      <c r="K37" s="5" t="inlineStr">
        <is>
          <t>Y9</t>
        </is>
      </c>
      <c r="L37" s="5" t="inlineStr">
        <is>
          <t>Y10</t>
        </is>
      </c>
    </row>
    <row r="38">
      <c r="A38" s="3" t="inlineStr">
        <is>
          <t>Year index</t>
        </is>
      </c>
      <c r="C38" s="21" t="n">
        <v>1</v>
      </c>
      <c r="D38" s="21" t="n">
        <v>2</v>
      </c>
      <c r="E38" s="21" t="n">
        <v>3</v>
      </c>
      <c r="F38" s="21" t="n">
        <v>4</v>
      </c>
      <c r="G38" s="21" t="n">
        <v>5</v>
      </c>
      <c r="H38" s="21" t="n">
        <v>6</v>
      </c>
      <c r="I38" s="21" t="n">
        <v>7</v>
      </c>
      <c r="J38" s="21" t="n">
        <v>8</v>
      </c>
      <c r="K38" s="21" t="n">
        <v>9</v>
      </c>
      <c r="L38" s="21" t="n">
        <v>10</v>
      </c>
    </row>
    <row r="39">
      <c r="A39" s="3" t="inlineStr">
        <is>
          <t>Revenue growth</t>
        </is>
      </c>
      <c r="C39" s="11">
        <f>$C$21+($C$22-$C$21)*(C38-1)/9</f>
        <v/>
      </c>
      <c r="D39" s="11">
        <f>$C$21+($C$22-$C$21)*(D38-1)/9</f>
        <v/>
      </c>
      <c r="E39" s="11">
        <f>$C$21+($C$22-$C$21)*(E38-1)/9</f>
        <v/>
      </c>
      <c r="F39" s="11">
        <f>$C$21+($C$22-$C$21)*(F38-1)/9</f>
        <v/>
      </c>
      <c r="G39" s="11">
        <f>$C$21+($C$22-$C$21)*(G38-1)/9</f>
        <v/>
      </c>
      <c r="H39" s="11">
        <f>$C$21+($C$22-$C$21)*(H38-1)/9</f>
        <v/>
      </c>
      <c r="I39" s="11">
        <f>$C$21+($C$22-$C$21)*(I38-1)/9</f>
        <v/>
      </c>
      <c r="J39" s="11">
        <f>$C$21+($C$22-$C$21)*(J38-1)/9</f>
        <v/>
      </c>
      <c r="K39" s="11">
        <f>$C$21+($C$22-$C$21)*(K38-1)/9</f>
        <v/>
      </c>
      <c r="L39" s="11">
        <f>$C$21+($C$22-$C$21)*(L38-1)/9</f>
        <v/>
      </c>
    </row>
    <row r="40">
      <c r="A40" s="3" t="inlineStr">
        <is>
          <t>Revenue ($bn)</t>
        </is>
      </c>
      <c r="C40" s="17">
        <f>$B$7*(1+C39)</f>
        <v/>
      </c>
      <c r="D40" s="17">
        <f>C40*(1+D39)</f>
        <v/>
      </c>
      <c r="E40" s="17">
        <f>D40*(1+E39)</f>
        <v/>
      </c>
      <c r="F40" s="17">
        <f>E40*(1+F39)</f>
        <v/>
      </c>
      <c r="G40" s="17">
        <f>F40*(1+G39)</f>
        <v/>
      </c>
      <c r="H40" s="17">
        <f>G40*(1+H39)</f>
        <v/>
      </c>
      <c r="I40" s="17">
        <f>H40*(1+I39)</f>
        <v/>
      </c>
      <c r="J40" s="17">
        <f>I40*(1+J39)</f>
        <v/>
      </c>
      <c r="K40" s="17">
        <f>J40*(1+K39)</f>
        <v/>
      </c>
      <c r="L40" s="17">
        <f>K40*(1+L39)</f>
        <v/>
      </c>
    </row>
    <row r="41">
      <c r="A41" s="3" t="inlineStr">
        <is>
          <t>SBC-adjusted FCF margin</t>
        </is>
      </c>
      <c r="C41" s="11">
        <f>$B$16+($C$23-$B$16)*MIN(C38,$B$25)/$B$25</f>
        <v/>
      </c>
      <c r="D41" s="11">
        <f>$B$16+($C$23-$B$16)*MIN(D38,$B$25)/$B$25</f>
        <v/>
      </c>
      <c r="E41" s="11">
        <f>$B$16+($C$23-$B$16)*MIN(E38,$B$25)/$B$25</f>
        <v/>
      </c>
      <c r="F41" s="11">
        <f>$B$16+($C$23-$B$16)*MIN(F38,$B$25)/$B$25</f>
        <v/>
      </c>
      <c r="G41" s="11">
        <f>$B$16+($C$23-$B$16)*MIN(G38,$B$25)/$B$25</f>
        <v/>
      </c>
      <c r="H41" s="11">
        <f>$B$16+($C$23-$B$16)*MIN(H38,$B$25)/$B$25</f>
        <v/>
      </c>
      <c r="I41" s="11">
        <f>$B$16+($C$23-$B$16)*MIN(I38,$B$25)/$B$25</f>
        <v/>
      </c>
      <c r="J41" s="11">
        <f>$B$16+($C$23-$B$16)*MIN(J38,$B$25)/$B$25</f>
        <v/>
      </c>
      <c r="K41" s="11">
        <f>$B$16+($C$23-$B$16)*MIN(K38,$B$25)/$B$25</f>
        <v/>
      </c>
      <c r="L41" s="11">
        <f>$B$16+($C$23-$B$16)*MIN(L38,$B$25)/$B$25</f>
        <v/>
      </c>
    </row>
    <row r="42">
      <c r="A42" s="3" t="inlineStr">
        <is>
          <t>SBC-adjusted FCF ($bn)</t>
        </is>
      </c>
      <c r="C42" s="17">
        <f>C40*C41</f>
        <v/>
      </c>
      <c r="D42" s="17">
        <f>D40*D41</f>
        <v/>
      </c>
      <c r="E42" s="17">
        <f>E40*E41</f>
        <v/>
      </c>
      <c r="F42" s="17">
        <f>F40*F41</f>
        <v/>
      </c>
      <c r="G42" s="17">
        <f>G40*G41</f>
        <v/>
      </c>
      <c r="H42" s="17">
        <f>H40*H41</f>
        <v/>
      </c>
      <c r="I42" s="17">
        <f>I40*I41</f>
        <v/>
      </c>
      <c r="J42" s="17">
        <f>J40*J41</f>
        <v/>
      </c>
      <c r="K42" s="17">
        <f>K40*K41</f>
        <v/>
      </c>
      <c r="L42" s="17">
        <f>L40*L41</f>
        <v/>
      </c>
    </row>
    <row r="43">
      <c r="A43" s="3" t="inlineStr">
        <is>
          <t>Discount factor</t>
        </is>
      </c>
      <c r="C43" s="22">
        <f>1/(1+$B$13)^C38</f>
        <v/>
      </c>
      <c r="D43" s="22">
        <f>1/(1+$B$13)^D38</f>
        <v/>
      </c>
      <c r="E43" s="22">
        <f>1/(1+$B$13)^E38</f>
        <v/>
      </c>
      <c r="F43" s="22">
        <f>1/(1+$B$13)^F38</f>
        <v/>
      </c>
      <c r="G43" s="22">
        <f>1/(1+$B$13)^G38</f>
        <v/>
      </c>
      <c r="H43" s="22">
        <f>1/(1+$B$13)^H38</f>
        <v/>
      </c>
      <c r="I43" s="22">
        <f>1/(1+$B$13)^I38</f>
        <v/>
      </c>
      <c r="J43" s="22">
        <f>1/(1+$B$13)^J38</f>
        <v/>
      </c>
      <c r="K43" s="22">
        <f>1/(1+$B$13)^K38</f>
        <v/>
      </c>
      <c r="L43" s="22">
        <f>1/(1+$B$13)^L38</f>
        <v/>
      </c>
    </row>
    <row r="44">
      <c r="A44" s="3" t="inlineStr">
        <is>
          <t>Present value of FCF ($bn)</t>
        </is>
      </c>
      <c r="C44" s="17">
        <f>C42*C43</f>
        <v/>
      </c>
      <c r="D44" s="17">
        <f>D42*D43</f>
        <v/>
      </c>
      <c r="E44" s="17">
        <f>E42*E43</f>
        <v/>
      </c>
      <c r="F44" s="17">
        <f>F42*F43</f>
        <v/>
      </c>
      <c r="G44" s="17">
        <f>G42*G43</f>
        <v/>
      </c>
      <c r="H44" s="17">
        <f>H42*H43</f>
        <v/>
      </c>
      <c r="I44" s="17">
        <f>I42*I43</f>
        <v/>
      </c>
      <c r="J44" s="17">
        <f>J42*J43</f>
        <v/>
      </c>
      <c r="K44" s="17">
        <f>K42*K43</f>
        <v/>
      </c>
      <c r="L44" s="17">
        <f>L42*L43</f>
        <v/>
      </c>
    </row>
    <row r="46">
      <c r="A46" s="6" t="inlineStr">
        <is>
          <t>Bull case</t>
        </is>
      </c>
      <c r="C46" s="5" t="inlineStr">
        <is>
          <t>Y1</t>
        </is>
      </c>
      <c r="D46" s="5" t="inlineStr">
        <is>
          <t>Y2</t>
        </is>
      </c>
      <c r="E46" s="5" t="inlineStr">
        <is>
          <t>Y3</t>
        </is>
      </c>
      <c r="F46" s="5" t="inlineStr">
        <is>
          <t>Y4</t>
        </is>
      </c>
      <c r="G46" s="5" t="inlineStr">
        <is>
          <t>Y5</t>
        </is>
      </c>
      <c r="H46" s="5" t="inlineStr">
        <is>
          <t>Y6</t>
        </is>
      </c>
      <c r="I46" s="5" t="inlineStr">
        <is>
          <t>Y7</t>
        </is>
      </c>
      <c r="J46" s="5" t="inlineStr">
        <is>
          <t>Y8</t>
        </is>
      </c>
      <c r="K46" s="5" t="inlineStr">
        <is>
          <t>Y9</t>
        </is>
      </c>
      <c r="L46" s="5" t="inlineStr">
        <is>
          <t>Y10</t>
        </is>
      </c>
    </row>
    <row r="47">
      <c r="A47" s="3" t="inlineStr">
        <is>
          <t>Year index</t>
        </is>
      </c>
      <c r="C47" s="21" t="n">
        <v>1</v>
      </c>
      <c r="D47" s="21" t="n">
        <v>2</v>
      </c>
      <c r="E47" s="21" t="n">
        <v>3</v>
      </c>
      <c r="F47" s="21" t="n">
        <v>4</v>
      </c>
      <c r="G47" s="21" t="n">
        <v>5</v>
      </c>
      <c r="H47" s="21" t="n">
        <v>6</v>
      </c>
      <c r="I47" s="21" t="n">
        <v>7</v>
      </c>
      <c r="J47" s="21" t="n">
        <v>8</v>
      </c>
      <c r="K47" s="21" t="n">
        <v>9</v>
      </c>
      <c r="L47" s="21" t="n">
        <v>10</v>
      </c>
    </row>
    <row r="48">
      <c r="A48" s="3" t="inlineStr">
        <is>
          <t>Revenue growth</t>
        </is>
      </c>
      <c r="C48" s="11">
        <f>$D$21+($D$22-$D$21)*(C47-1)/9</f>
        <v/>
      </c>
      <c r="D48" s="11">
        <f>$D$21+($D$22-$D$21)*(D47-1)/9</f>
        <v/>
      </c>
      <c r="E48" s="11">
        <f>$D$21+($D$22-$D$21)*(E47-1)/9</f>
        <v/>
      </c>
      <c r="F48" s="11">
        <f>$D$21+($D$22-$D$21)*(F47-1)/9</f>
        <v/>
      </c>
      <c r="G48" s="11">
        <f>$D$21+($D$22-$D$21)*(G47-1)/9</f>
        <v/>
      </c>
      <c r="H48" s="11">
        <f>$D$21+($D$22-$D$21)*(H47-1)/9</f>
        <v/>
      </c>
      <c r="I48" s="11">
        <f>$D$21+($D$22-$D$21)*(I47-1)/9</f>
        <v/>
      </c>
      <c r="J48" s="11">
        <f>$D$21+($D$22-$D$21)*(J47-1)/9</f>
        <v/>
      </c>
      <c r="K48" s="11">
        <f>$D$21+($D$22-$D$21)*(K47-1)/9</f>
        <v/>
      </c>
      <c r="L48" s="11">
        <f>$D$21+($D$22-$D$21)*(L47-1)/9</f>
        <v/>
      </c>
    </row>
    <row r="49">
      <c r="A49" s="3" t="inlineStr">
        <is>
          <t>Revenue ($bn)</t>
        </is>
      </c>
      <c r="C49" s="17">
        <f>$B$7*(1+C48)</f>
        <v/>
      </c>
      <c r="D49" s="17">
        <f>C49*(1+D48)</f>
        <v/>
      </c>
      <c r="E49" s="17">
        <f>D49*(1+E48)</f>
        <v/>
      </c>
      <c r="F49" s="17">
        <f>E49*(1+F48)</f>
        <v/>
      </c>
      <c r="G49" s="17">
        <f>F49*(1+G48)</f>
        <v/>
      </c>
      <c r="H49" s="17">
        <f>G49*(1+H48)</f>
        <v/>
      </c>
      <c r="I49" s="17">
        <f>H49*(1+I48)</f>
        <v/>
      </c>
      <c r="J49" s="17">
        <f>I49*(1+J48)</f>
        <v/>
      </c>
      <c r="K49" s="17">
        <f>J49*(1+K48)</f>
        <v/>
      </c>
      <c r="L49" s="17">
        <f>K49*(1+L48)</f>
        <v/>
      </c>
    </row>
    <row r="50">
      <c r="A50" s="3" t="inlineStr">
        <is>
          <t>SBC-adjusted FCF margin</t>
        </is>
      </c>
      <c r="C50" s="11">
        <f>$B$16+($D$23-$B$16)*MIN(C47,$B$25)/$B$25</f>
        <v/>
      </c>
      <c r="D50" s="11">
        <f>$B$16+($D$23-$B$16)*MIN(D47,$B$25)/$B$25</f>
        <v/>
      </c>
      <c r="E50" s="11">
        <f>$B$16+($D$23-$B$16)*MIN(E47,$B$25)/$B$25</f>
        <v/>
      </c>
      <c r="F50" s="11">
        <f>$B$16+($D$23-$B$16)*MIN(F47,$B$25)/$B$25</f>
        <v/>
      </c>
      <c r="G50" s="11">
        <f>$B$16+($D$23-$B$16)*MIN(G47,$B$25)/$B$25</f>
        <v/>
      </c>
      <c r="H50" s="11">
        <f>$B$16+($D$23-$B$16)*MIN(H47,$B$25)/$B$25</f>
        <v/>
      </c>
      <c r="I50" s="11">
        <f>$B$16+($D$23-$B$16)*MIN(I47,$B$25)/$B$25</f>
        <v/>
      </c>
      <c r="J50" s="11">
        <f>$B$16+($D$23-$B$16)*MIN(J47,$B$25)/$B$25</f>
        <v/>
      </c>
      <c r="K50" s="11">
        <f>$B$16+($D$23-$B$16)*MIN(K47,$B$25)/$B$25</f>
        <v/>
      </c>
      <c r="L50" s="11">
        <f>$B$16+($D$23-$B$16)*MIN(L47,$B$25)/$B$25</f>
        <v/>
      </c>
    </row>
    <row r="51">
      <c r="A51" s="3" t="inlineStr">
        <is>
          <t>SBC-adjusted FCF ($bn)</t>
        </is>
      </c>
      <c r="C51" s="17">
        <f>C49*C50</f>
        <v/>
      </c>
      <c r="D51" s="17">
        <f>D49*D50</f>
        <v/>
      </c>
      <c r="E51" s="17">
        <f>E49*E50</f>
        <v/>
      </c>
      <c r="F51" s="17">
        <f>F49*F50</f>
        <v/>
      </c>
      <c r="G51" s="17">
        <f>G49*G50</f>
        <v/>
      </c>
      <c r="H51" s="17">
        <f>H49*H50</f>
        <v/>
      </c>
      <c r="I51" s="17">
        <f>I49*I50</f>
        <v/>
      </c>
      <c r="J51" s="17">
        <f>J49*J50</f>
        <v/>
      </c>
      <c r="K51" s="17">
        <f>K49*K50</f>
        <v/>
      </c>
      <c r="L51" s="17">
        <f>L49*L50</f>
        <v/>
      </c>
    </row>
    <row r="52">
      <c r="A52" s="3" t="inlineStr">
        <is>
          <t>Discount factor</t>
        </is>
      </c>
      <c r="C52" s="22">
        <f>1/(1+$B$13)^C47</f>
        <v/>
      </c>
      <c r="D52" s="22">
        <f>1/(1+$B$13)^D47</f>
        <v/>
      </c>
      <c r="E52" s="22">
        <f>1/(1+$B$13)^E47</f>
        <v/>
      </c>
      <c r="F52" s="22">
        <f>1/(1+$B$13)^F47</f>
        <v/>
      </c>
      <c r="G52" s="22">
        <f>1/(1+$B$13)^G47</f>
        <v/>
      </c>
      <c r="H52" s="22">
        <f>1/(1+$B$13)^H47</f>
        <v/>
      </c>
      <c r="I52" s="22">
        <f>1/(1+$B$13)^I47</f>
        <v/>
      </c>
      <c r="J52" s="22">
        <f>1/(1+$B$13)^J47</f>
        <v/>
      </c>
      <c r="K52" s="22">
        <f>1/(1+$B$13)^K47</f>
        <v/>
      </c>
      <c r="L52" s="22">
        <f>1/(1+$B$13)^L47</f>
        <v/>
      </c>
    </row>
    <row r="53">
      <c r="A53" s="3" t="inlineStr">
        <is>
          <t>Present value of FCF ($bn)</t>
        </is>
      </c>
      <c r="C53" s="17">
        <f>C51*C52</f>
        <v/>
      </c>
      <c r="D53" s="17">
        <f>D51*D52</f>
        <v/>
      </c>
      <c r="E53" s="17">
        <f>E51*E52</f>
        <v/>
      </c>
      <c r="F53" s="17">
        <f>F51*F52</f>
        <v/>
      </c>
      <c r="G53" s="17">
        <f>G51*G52</f>
        <v/>
      </c>
      <c r="H53" s="17">
        <f>H51*H52</f>
        <v/>
      </c>
      <c r="I53" s="17">
        <f>I51*I52</f>
        <v/>
      </c>
      <c r="J53" s="17">
        <f>J51*J52</f>
        <v/>
      </c>
      <c r="K53" s="17">
        <f>K51*K52</f>
        <v/>
      </c>
      <c r="L53" s="17">
        <f>L51*L52</f>
        <v/>
      </c>
    </row>
    <row r="56">
      <c r="A56" s="12" t="inlineStr">
        <is>
          <t>4. Valuation</t>
        </is>
      </c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</row>
    <row r="57">
      <c r="B57" s="5" t="inlineStr">
        <is>
          <t>Bear</t>
        </is>
      </c>
      <c r="C57" s="5" t="inlineStr">
        <is>
          <t>Base</t>
        </is>
      </c>
      <c r="D57" s="5" t="inlineStr">
        <is>
          <t>Bull</t>
        </is>
      </c>
    </row>
    <row r="58">
      <c r="A58" s="3" t="inlineStr">
        <is>
          <t>PV of years 1 to 10 FCF ($bn)</t>
        </is>
      </c>
      <c r="B58" s="17">
        <f>SUM(C35:L35)</f>
        <v/>
      </c>
      <c r="C58" s="17">
        <f>SUM(C44:L44)</f>
        <v/>
      </c>
      <c r="D58" s="17">
        <f>SUM(C53:L53)</f>
        <v/>
      </c>
    </row>
    <row r="59">
      <c r="A59" s="3" t="inlineStr">
        <is>
          <t>Terminal value at year 10 ($bn)</t>
        </is>
      </c>
      <c r="B59" s="17">
        <f>L33*(1+$B$14)/($B$13-$B$14)</f>
        <v/>
      </c>
      <c r="C59" s="17">
        <f>L42*(1+$B$14)/($B$13-$B$14)</f>
        <v/>
      </c>
      <c r="D59" s="17">
        <f>L51*(1+$B$14)/($B$13-$B$14)</f>
        <v/>
      </c>
    </row>
    <row r="60">
      <c r="A60" s="3" t="inlineStr">
        <is>
          <t>PV of terminal value ($bn)</t>
        </is>
      </c>
      <c r="B60" s="17">
        <f>B59*L34</f>
        <v/>
      </c>
      <c r="C60" s="17">
        <f>C59*L43</f>
        <v/>
      </c>
      <c r="D60" s="17">
        <f>D59*L52</f>
        <v/>
      </c>
    </row>
    <row r="61">
      <c r="A61" s="3" t="inlineStr">
        <is>
          <t>Enterprise value ($bn)</t>
        </is>
      </c>
      <c r="B61" s="17">
        <f>B58+B60</f>
        <v/>
      </c>
      <c r="C61" s="17">
        <f>C58+C60</f>
        <v/>
      </c>
      <c r="D61" s="17">
        <f>D58+D60</f>
        <v/>
      </c>
    </row>
    <row r="62">
      <c r="A62" s="3" t="inlineStr">
        <is>
          <t>Equity value incl. adjusted net cash ($bn)</t>
        </is>
      </c>
      <c r="B62" s="17">
        <f>B61+$B$17</f>
        <v/>
      </c>
      <c r="C62" s="17">
        <f>C61+$B$17</f>
        <v/>
      </c>
      <c r="D62" s="17">
        <f>D61+$B$17</f>
        <v/>
      </c>
    </row>
    <row r="63">
      <c r="A63" s="3" t="inlineStr">
        <is>
          <t>Value per share (US$)</t>
        </is>
      </c>
      <c r="B63" s="23">
        <f>B62/$B$6</f>
        <v/>
      </c>
      <c r="C63" s="23">
        <f>C62/$B$6</f>
        <v/>
      </c>
      <c r="D63" s="23">
        <f>D62/$B$6</f>
        <v/>
      </c>
    </row>
    <row r="64">
      <c r="A64" s="3" t="inlineStr">
        <is>
          <t>Terminal value as share of EV</t>
        </is>
      </c>
      <c r="B64" s="11">
        <f>B60/B61</f>
        <v/>
      </c>
      <c r="C64" s="11">
        <f>C60/C61</f>
        <v/>
      </c>
      <c r="D64" s="11">
        <f>D60/D61</f>
        <v/>
      </c>
    </row>
    <row r="66">
      <c r="A66" s="6" t="inlineStr">
        <is>
          <t>Probability-weighted fair value (US$)</t>
        </is>
      </c>
      <c r="B66" s="23">
        <f>SUMPRODUCT(B63:D63,B24:D24)</f>
        <v/>
      </c>
    </row>
    <row r="67">
      <c r="A67" s="3" t="inlineStr">
        <is>
          <t>Buy-below price after margin of safety (US$)</t>
        </is>
      </c>
      <c r="B67" s="24">
        <f>B66*(1-B15)</f>
        <v/>
      </c>
    </row>
    <row r="68">
      <c r="A68" s="3" t="inlineStr">
        <is>
          <t>Current price (US$)</t>
        </is>
      </c>
      <c r="B68" s="24">
        <f>B5</f>
        <v/>
      </c>
    </row>
    <row r="69">
      <c r="A69" s="3" t="inlineStr">
        <is>
          <t>Price vs fair value (positive = price above value)</t>
        </is>
      </c>
      <c r="B69" s="11">
        <f>B68/B66-1</f>
        <v/>
      </c>
    </row>
    <row r="70">
      <c r="A70" s="6" t="inlineStr">
        <is>
          <t>Status</t>
        </is>
      </c>
      <c r="B70" s="6">
        <f>IF(B68&lt;=B67,"Attractive",IF(B68&lt;=B66*(1-B15/2),"Potentially interesting",IF(B68&lt;=B66,"Little margin of safety","Above estimated value")))</f>
        <v/>
      </c>
    </row>
    <row r="71">
      <c r="A71" s="3" t="inlineStr">
        <is>
          <t>No-growth value per share (earnings power value, US$)</t>
        </is>
      </c>
      <c r="B71" s="24">
        <f>(B7*C23/B13+B17)/B6</f>
        <v/>
      </c>
    </row>
    <row r="72">
      <c r="A72" s="3" t="inlineStr">
        <is>
          <t>Implied annual return at today's price (base case)</t>
        </is>
      </c>
      <c r="B72" s="25">
        <f>IFERROR(INDEX($C$84:$L$84,MATCH($B$5,$C$85:$L$85,-1))+(INDEX($C$85:$L$85,MATCH($B$5,$C$85:$L$85,-1))-$B$5)/(INDEX($C$85:$L$85,MATCH($B$5,$C$85:$L$85,-1))-INDEX($C$85:$L$85,MATCH($B$5,$C$85:$L$85,-1)+1))*($D$84-$C$84),"outside grid")</f>
        <v/>
      </c>
      <c r="C72" s="2" t="inlineStr">
        <is>
          <t>Interpolated from the helper table in section 6 (accurate to about 0.1 point).</t>
        </is>
      </c>
    </row>
    <row r="73">
      <c r="A73" s="3" t="inlineStr">
        <is>
          <t>Year-1 revenue growth needed to justify price (goal-seek result)</t>
        </is>
      </c>
      <c r="B73" s="4" t="n">
        <v>0.2863022089004517</v>
      </c>
      <c r="C73" s="2" t="inlineStr">
        <is>
          <t>Solved with a goal-seek in the model script (base margin, growth fading to base year-10 rate). Re-run if inputs change.</t>
        </is>
      </c>
    </row>
    <row r="75">
      <c r="A75" s="12" t="inlineStr">
        <is>
          <t>5. Sensitivity: base-case value per share (US$) by required return and terminal growth</t>
        </is>
      </c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</row>
    <row r="76">
      <c r="A76" s="6" t="inlineStr">
        <is>
          <t>Required return (down) / terminal growth (across)</t>
        </is>
      </c>
      <c r="C76" s="25">
        <f>$B$14+(-0.01)</f>
        <v/>
      </c>
      <c r="D76" s="25">
        <f>$B$14+(-0.005)</f>
        <v/>
      </c>
      <c r="E76" s="25">
        <f>$B$14+(0)</f>
        <v/>
      </c>
      <c r="F76" s="25">
        <f>$B$14+(0.005)</f>
        <v/>
      </c>
      <c r="G76" s="25">
        <f>$B$14+(0.01)</f>
        <v/>
      </c>
    </row>
    <row r="77">
      <c r="B77" s="25">
        <f>$B$13+(-0.02)</f>
        <v/>
      </c>
      <c r="C77" s="24">
        <f>(SUMPRODUCT($C$42:$L$42/(1+$B77)^$C$38:$L$38)+$L$42*(1+C$76)/($B77-C$76)/(1+$B77)^$L$38+$B$17)/$B$6</f>
        <v/>
      </c>
      <c r="D77" s="24">
        <f>(SUMPRODUCT($C$42:$L$42/(1+$B77)^$C$38:$L$38)+$L$42*(1+D$76)/($B77-D$76)/(1+$B77)^$L$38+$B$17)/$B$6</f>
        <v/>
      </c>
      <c r="E77" s="24">
        <f>(SUMPRODUCT($C$42:$L$42/(1+$B77)^$C$38:$L$38)+$L$42*(1+E$76)/($B77-E$76)/(1+$B77)^$L$38+$B$17)/$B$6</f>
        <v/>
      </c>
      <c r="F77" s="24">
        <f>(SUMPRODUCT($C$42:$L$42/(1+$B77)^$C$38:$L$38)+$L$42*(1+F$76)/($B77-F$76)/(1+$B77)^$L$38+$B$17)/$B$6</f>
        <v/>
      </c>
      <c r="G77" s="24">
        <f>(SUMPRODUCT($C$42:$L$42/(1+$B77)^$C$38:$L$38)+$L$42*(1+G$76)/($B77-G$76)/(1+$B77)^$L$38+$B$17)/$B$6</f>
        <v/>
      </c>
    </row>
    <row r="78">
      <c r="B78" s="25">
        <f>$B$13+(-0.01)</f>
        <v/>
      </c>
      <c r="C78" s="24">
        <f>(SUMPRODUCT($C$42:$L$42/(1+$B78)^$C$38:$L$38)+$L$42*(1+C$76)/($B78-C$76)/(1+$B78)^$L$38+$B$17)/$B$6</f>
        <v/>
      </c>
      <c r="D78" s="24">
        <f>(SUMPRODUCT($C$42:$L$42/(1+$B78)^$C$38:$L$38)+$L$42*(1+D$76)/($B78-D$76)/(1+$B78)^$L$38+$B$17)/$B$6</f>
        <v/>
      </c>
      <c r="E78" s="24">
        <f>(SUMPRODUCT($C$42:$L$42/(1+$B78)^$C$38:$L$38)+$L$42*(1+E$76)/($B78-E$76)/(1+$B78)^$L$38+$B$17)/$B$6</f>
        <v/>
      </c>
      <c r="F78" s="24">
        <f>(SUMPRODUCT($C$42:$L$42/(1+$B78)^$C$38:$L$38)+$L$42*(1+F$76)/($B78-F$76)/(1+$B78)^$L$38+$B$17)/$B$6</f>
        <v/>
      </c>
      <c r="G78" s="24">
        <f>(SUMPRODUCT($C$42:$L$42/(1+$B78)^$C$38:$L$38)+$L$42*(1+G$76)/($B78-G$76)/(1+$B78)^$L$38+$B$17)/$B$6</f>
        <v/>
      </c>
    </row>
    <row r="79">
      <c r="B79" s="25">
        <f>$B$13+(0)</f>
        <v/>
      </c>
      <c r="C79" s="24">
        <f>(SUMPRODUCT($C$42:$L$42/(1+$B79)^$C$38:$L$38)+$L$42*(1+C$76)/($B79-C$76)/(1+$B79)^$L$38+$B$17)/$B$6</f>
        <v/>
      </c>
      <c r="D79" s="24">
        <f>(SUMPRODUCT($C$42:$L$42/(1+$B79)^$C$38:$L$38)+$L$42*(1+D$76)/($B79-D$76)/(1+$B79)^$L$38+$B$17)/$B$6</f>
        <v/>
      </c>
      <c r="E79" s="26">
        <f>(SUMPRODUCT($C$42:$L$42/(1+$B79)^$C$38:$L$38)+$L$42*(1+E$76)/($B79-E$76)/(1+$B79)^$L$38+$B$17)/$B$6</f>
        <v/>
      </c>
      <c r="F79" s="24">
        <f>(SUMPRODUCT($C$42:$L$42/(1+$B79)^$C$38:$L$38)+$L$42*(1+F$76)/($B79-F$76)/(1+$B79)^$L$38+$B$17)/$B$6</f>
        <v/>
      </c>
      <c r="G79" s="24">
        <f>(SUMPRODUCT($C$42:$L$42/(1+$B79)^$C$38:$L$38)+$L$42*(1+G$76)/($B79-G$76)/(1+$B79)^$L$38+$B$17)/$B$6</f>
        <v/>
      </c>
    </row>
    <row r="80">
      <c r="B80" s="25">
        <f>$B$13+(0.01)</f>
        <v/>
      </c>
      <c r="C80" s="24">
        <f>(SUMPRODUCT($C$42:$L$42/(1+$B80)^$C$38:$L$38)+$L$42*(1+C$76)/($B80-C$76)/(1+$B80)^$L$38+$B$17)/$B$6</f>
        <v/>
      </c>
      <c r="D80" s="24">
        <f>(SUMPRODUCT($C$42:$L$42/(1+$B80)^$C$38:$L$38)+$L$42*(1+D$76)/($B80-D$76)/(1+$B80)^$L$38+$B$17)/$B$6</f>
        <v/>
      </c>
      <c r="E80" s="24">
        <f>(SUMPRODUCT($C$42:$L$42/(1+$B80)^$C$38:$L$38)+$L$42*(1+E$76)/($B80-E$76)/(1+$B80)^$L$38+$B$17)/$B$6</f>
        <v/>
      </c>
      <c r="F80" s="24">
        <f>(SUMPRODUCT($C$42:$L$42/(1+$B80)^$C$38:$L$38)+$L$42*(1+F$76)/($B80-F$76)/(1+$B80)^$L$38+$B$17)/$B$6</f>
        <v/>
      </c>
      <c r="G80" s="24">
        <f>(SUMPRODUCT($C$42:$L$42/(1+$B80)^$C$38:$L$38)+$L$42*(1+G$76)/($B80-G$76)/(1+$B80)^$L$38+$B$17)/$B$6</f>
        <v/>
      </c>
    </row>
    <row r="81">
      <c r="B81" s="25">
        <f>$B$13+(0.02)</f>
        <v/>
      </c>
      <c r="C81" s="24">
        <f>(SUMPRODUCT($C$42:$L$42/(1+$B81)^$C$38:$L$38)+$L$42*(1+C$76)/($B81-C$76)/(1+$B81)^$L$38+$B$17)/$B$6</f>
        <v/>
      </c>
      <c r="D81" s="24">
        <f>(SUMPRODUCT($C$42:$L$42/(1+$B81)^$C$38:$L$38)+$L$42*(1+D$76)/($B81-D$76)/(1+$B81)^$L$38+$B$17)/$B$6</f>
        <v/>
      </c>
      <c r="E81" s="24">
        <f>(SUMPRODUCT($C$42:$L$42/(1+$B81)^$C$38:$L$38)+$L$42*(1+E$76)/($B81-E$76)/(1+$B81)^$L$38+$B$17)/$B$6</f>
        <v/>
      </c>
      <c r="F81" s="24">
        <f>(SUMPRODUCT($C$42:$L$42/(1+$B81)^$C$38:$L$38)+$L$42*(1+F$76)/($B81-F$76)/(1+$B81)^$L$38+$B$17)/$B$6</f>
        <v/>
      </c>
      <c r="G81" s="24">
        <f>(SUMPRODUCT($C$42:$L$42/(1+$B81)^$C$38:$L$38)+$L$42*(1+G$76)/($B81-G$76)/(1+$B81)^$L$38+$B$17)/$B$6</f>
        <v/>
      </c>
    </row>
    <row r="83">
      <c r="A83" s="12" t="inlineStr">
        <is>
          <t>6. Helper: base-case value at different required returns (used for the implied return above)</t>
        </is>
      </c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</row>
    <row r="84">
      <c r="A84" s="3" t="inlineStr">
        <is>
          <t>Required return</t>
        </is>
      </c>
      <c r="C84" s="4" t="n">
        <v>0.035</v>
      </c>
      <c r="D84" s="11">
        <f>C84+0.01</f>
        <v/>
      </c>
      <c r="E84" s="11">
        <f>D84+0.01</f>
        <v/>
      </c>
      <c r="F84" s="11">
        <f>E84+0.01</f>
        <v/>
      </c>
      <c r="G84" s="11">
        <f>F84+0.01</f>
        <v/>
      </c>
      <c r="H84" s="11">
        <f>G84+0.01</f>
        <v/>
      </c>
      <c r="I84" s="11">
        <f>H84+0.01</f>
        <v/>
      </c>
      <c r="J84" s="11">
        <f>I84+0.01</f>
        <v/>
      </c>
      <c r="K84" s="11">
        <f>J84+0.01</f>
        <v/>
      </c>
      <c r="L84" s="11">
        <f>K84+0.01</f>
        <v/>
      </c>
    </row>
    <row r="85">
      <c r="A85" s="3" t="inlineStr">
        <is>
          <t>Base-case value per share (US$)</t>
        </is>
      </c>
      <c r="C85" s="24">
        <f>(SUMPRODUCT($C$42:$L$42/(1+C84)^$C$38:$L$38)+$L$42*(1+$B$14)/(C84-$B$14)/(1+C84)^$L$38+$B$17)/$B$6</f>
        <v/>
      </c>
      <c r="D85" s="24">
        <f>(SUMPRODUCT($C$42:$L$42/(1+D84)^$C$38:$L$38)+$L$42*(1+$B$14)/(D84-$B$14)/(1+D84)^$L$38+$B$17)/$B$6</f>
        <v/>
      </c>
      <c r="E85" s="24">
        <f>(SUMPRODUCT($C$42:$L$42/(1+E84)^$C$38:$L$38)+$L$42*(1+$B$14)/(E84-$B$14)/(1+E84)^$L$38+$B$17)/$B$6</f>
        <v/>
      </c>
      <c r="F85" s="24">
        <f>(SUMPRODUCT($C$42:$L$42/(1+F84)^$C$38:$L$38)+$L$42*(1+$B$14)/(F84-$B$14)/(1+F84)^$L$38+$B$17)/$B$6</f>
        <v/>
      </c>
      <c r="G85" s="24">
        <f>(SUMPRODUCT($C$42:$L$42/(1+G84)^$C$38:$L$38)+$L$42*(1+$B$14)/(G84-$B$14)/(1+G84)^$L$38+$B$17)/$B$6</f>
        <v/>
      </c>
      <c r="H85" s="24">
        <f>(SUMPRODUCT($C$42:$L$42/(1+H84)^$C$38:$L$38)+$L$42*(1+$B$14)/(H84-$B$14)/(1+H84)^$L$38+$B$17)/$B$6</f>
        <v/>
      </c>
      <c r="I85" s="24">
        <f>(SUMPRODUCT($C$42:$L$42/(1+I84)^$C$38:$L$38)+$L$42*(1+$B$14)/(I84-$B$14)/(1+I84)^$L$38+$B$17)/$B$6</f>
        <v/>
      </c>
      <c r="J85" s="24">
        <f>(SUMPRODUCT($C$42:$L$42/(1+J84)^$C$38:$L$38)+$L$42*(1+$B$14)/(J84-$B$14)/(1+J84)^$L$38+$B$17)/$B$6</f>
        <v/>
      </c>
      <c r="K85" s="24">
        <f>(SUMPRODUCT($C$42:$L$42/(1+K84)^$C$38:$L$38)+$L$42*(1+$B$14)/(K84-$B$14)/(1+K84)^$L$38+$B$17)/$B$6</f>
        <v/>
      </c>
      <c r="L85" s="24">
        <f>(SUMPRODUCT($C$42:$L$42/(1+L84)^$C$38:$L$38)+$L$42*(1+$B$14)/(L84-$B$14)/(1+L84)^$L$38+$B$17)/$B$6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GOOGL: Alphabet Inc. (Class A)</t>
        </is>
      </c>
    </row>
    <row r="2">
      <c r="A2" s="2" t="inlineStr">
        <is>
          <t>Blue = input you can change. Black = formula. Green = link to another tab. US$ billions unless stated; per-share values in US$.</t>
        </is>
      </c>
    </row>
    <row r="4">
      <c r="A4" s="12" t="inlineStr">
        <is>
          <t>1. Inputs (market data as of 14 Oct 2026 close; financials from latest filings)</t>
        </is>
      </c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</row>
    <row r="5">
      <c r="A5" s="3" t="inlineStr">
        <is>
          <t>Share price (US$)</t>
        </is>
      </c>
      <c r="B5" s="14" t="n">
        <v>347.64</v>
      </c>
      <c r="C5" s="2" t="inlineStr">
        <is>
          <t>Close 14 Oct 2026, StockAnalysis.com (S&amp;P Global data)</t>
        </is>
      </c>
    </row>
    <row r="6">
      <c r="A6" s="3" t="inlineStr">
        <is>
          <t>Shares outstanding (bn)</t>
        </is>
      </c>
      <c r="B6" s="15" t="n">
        <v>12.23</v>
      </c>
      <c r="C6" s="2" t="inlineStr">
        <is>
          <t>Alphabet 10-Q: 12.23bn shares across A, B and C at 15 Jul 2026 (after the June equity raise)</t>
        </is>
      </c>
    </row>
    <row r="7">
      <c r="A7" s="3" t="inlineStr">
        <is>
          <t>TTM revenue ($bn)</t>
        </is>
      </c>
      <c r="B7" s="16" t="n">
        <v>445.8</v>
      </c>
      <c r="C7" s="2" t="inlineStr">
        <is>
          <t>ESTIMATE: sum of the last four quarters (Q2 2026 $119.8bn, Q1 $109.9bn, Q4 and Q3 2025 approximated)</t>
        </is>
      </c>
    </row>
    <row r="8">
      <c r="A8" s="3" t="inlineStr">
        <is>
          <t>TTM free cash flow ($bn)</t>
        </is>
      </c>
      <c r="B8" s="16" t="n">
        <v>53.273</v>
      </c>
      <c r="C8" s="2" t="inlineStr">
        <is>
          <t>Alphabet Q2 2026 release: TTM free cash flow $53.3bn (operating cash flow $185.7bn less capex $132.4bn)</t>
        </is>
      </c>
    </row>
    <row r="9">
      <c r="A9" s="3" t="inlineStr">
        <is>
          <t>TTM stock-based compensation ($bn)</t>
        </is>
      </c>
      <c r="B9" s="16" t="n">
        <v>24.5</v>
      </c>
      <c r="C9" s="2" t="inlineStr">
        <is>
          <t>ESTIMATE: about 5.5% of revenue; not verified against the filing</t>
        </is>
      </c>
    </row>
    <row r="10">
      <c r="A10" s="3" t="inlineStr">
        <is>
          <t>Net cash / (debt) ($bn)</t>
        </is>
      </c>
      <c r="B10" s="16" t="n">
        <v>129.7</v>
      </c>
      <c r="C10" s="2" t="inlineStr">
        <is>
          <t>StockAnalysis.com, 30 Jun 2026: cash and securities $242.5bn less debt $112.8bn</t>
        </is>
      </c>
    </row>
    <row r="11">
      <c r="A11" s="3" t="inlineStr">
        <is>
          <t>Other assets at book value ($bn)</t>
        </is>
      </c>
      <c r="B11" s="16" t="n">
        <v>131.4</v>
      </c>
      <c r="C11" s="2" t="inlineStr">
        <is>
          <t>Alphabet 10-Q: long-term (non-marketable) investments $131.5bn at 30 Jun 2026</t>
        </is>
      </c>
    </row>
    <row r="12">
      <c r="A12" s="3" t="inlineStr">
        <is>
          <t>Haircut applied to other assets</t>
        </is>
      </c>
      <c r="B12" s="4" t="n">
        <v>0.5</v>
      </c>
      <c r="C12" s="2" t="inlineStr">
        <is>
          <t>Judgement: private stakes valued at half of book</t>
        </is>
      </c>
    </row>
    <row r="13">
      <c r="A13" s="3" t="inlineStr">
        <is>
          <t>Required annual return</t>
        </is>
      </c>
      <c r="B13" s="4" t="n">
        <v>0.1</v>
      </c>
      <c r="C13" s="2" t="inlineStr">
        <is>
          <t>10-yr Treasury ~5.2% (Oct 2026) plus an equity premium of about 3.8 to 5.3 points</t>
        </is>
      </c>
    </row>
    <row r="14">
      <c r="A14" s="3" t="inlineStr">
        <is>
          <t>Terminal growth rate</t>
        </is>
      </c>
      <c r="B14" s="4" t="n">
        <v>0.025</v>
      </c>
      <c r="C14" s="2" t="inlineStr">
        <is>
          <t>Below long-run nominal GDP growth</t>
        </is>
      </c>
    </row>
    <row r="15">
      <c r="A15" s="3" t="inlineStr">
        <is>
          <t>Margin of safety</t>
        </is>
      </c>
      <c r="B15" s="4" t="n">
        <v>0.3</v>
      </c>
      <c r="C15" s="2" t="inlineStr">
        <is>
          <t>Wider for businesses whose free cash flow is currently depressed or uncertain</t>
        </is>
      </c>
    </row>
    <row r="16">
      <c r="A16" s="3" t="inlineStr">
        <is>
          <t>Current SBC-adjusted FCF margin</t>
        </is>
      </c>
      <c r="B16" s="11">
        <f>(B8-B9)/B7</f>
        <v/>
      </c>
      <c r="C16" s="2" t="inlineStr">
        <is>
          <t>(FCF minus stock-based compensation) divided by revenue</t>
        </is>
      </c>
    </row>
    <row r="17">
      <c r="A17" s="3" t="inlineStr">
        <is>
          <t>Adjusted net cash ($bn)</t>
        </is>
      </c>
      <c r="B17" s="17">
        <f>B10+B11*(1-B12)</f>
        <v/>
      </c>
    </row>
    <row r="19">
      <c r="A19" s="12" t="inlineStr">
        <is>
          <t>2. Scenario assumptions</t>
        </is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</row>
    <row r="20">
      <c r="B20" s="5" t="inlineStr">
        <is>
          <t>Bear</t>
        </is>
      </c>
      <c r="C20" s="5" t="inlineStr">
        <is>
          <t>Base</t>
        </is>
      </c>
      <c r="D20" s="5" t="inlineStr">
        <is>
          <t>Bull</t>
        </is>
      </c>
    </row>
    <row r="21">
      <c r="A21" s="3" t="inlineStr">
        <is>
          <t>Revenue growth, year 1</t>
        </is>
      </c>
      <c r="B21" s="4" t="n">
        <v>0.14</v>
      </c>
      <c r="C21" s="4" t="n">
        <v>0.2</v>
      </c>
      <c r="D21" s="4" t="n">
        <v>0.24</v>
      </c>
    </row>
    <row r="22">
      <c r="A22" s="3" t="inlineStr">
        <is>
          <t>Revenue growth, year 10</t>
        </is>
      </c>
      <c r="B22" s="4" t="n">
        <v>0.035</v>
      </c>
      <c r="C22" s="4" t="n">
        <v>0.05</v>
      </c>
      <c r="D22" s="4" t="n">
        <v>0.06</v>
      </c>
    </row>
    <row r="23">
      <c r="A23" s="3" t="inlineStr">
        <is>
          <t>Target SBC-adjusted FCF margin</t>
        </is>
      </c>
      <c r="B23" s="4" t="n">
        <v>0.13</v>
      </c>
      <c r="C23" s="4" t="n">
        <v>0.19</v>
      </c>
      <c r="D23" s="4" t="n">
        <v>0.24</v>
      </c>
    </row>
    <row r="24">
      <c r="A24" s="3" t="inlineStr">
        <is>
          <t>Probability</t>
        </is>
      </c>
      <c r="B24" s="18" t="n">
        <v>0.3</v>
      </c>
      <c r="C24" s="18" t="n">
        <v>0.5</v>
      </c>
      <c r="D24" s="18" t="n">
        <v>0.2</v>
      </c>
      <c r="E24" s="19">
        <f>IF(ROUND(SUM(B24:D24),6)=1,"OK: sums to 100%","Probabilities must sum to 100%")</f>
        <v/>
      </c>
    </row>
    <row r="25">
      <c r="A25" s="3" t="inlineStr">
        <is>
          <t>Years to reach target margin</t>
        </is>
      </c>
      <c r="B25" s="20" t="n">
        <v>5</v>
      </c>
      <c r="C25" s="2" t="inlineStr">
        <is>
          <t>Growth fades in a straight line from year 1 to year 10; margin moves in a straight line to target.</t>
        </is>
      </c>
    </row>
    <row r="27">
      <c r="A27" s="12" t="inlineStr">
        <is>
          <t>3. Ten-year projection (growth fades linearly; value of years beyond year 10 is captured by the terminal value)</t>
        </is>
      </c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</row>
    <row r="28">
      <c r="A28" s="6" t="inlineStr">
        <is>
          <t>Bear case</t>
        </is>
      </c>
      <c r="C28" s="5" t="inlineStr">
        <is>
          <t>Y1</t>
        </is>
      </c>
      <c r="D28" s="5" t="inlineStr">
        <is>
          <t>Y2</t>
        </is>
      </c>
      <c r="E28" s="5" t="inlineStr">
        <is>
          <t>Y3</t>
        </is>
      </c>
      <c r="F28" s="5" t="inlineStr">
        <is>
          <t>Y4</t>
        </is>
      </c>
      <c r="G28" s="5" t="inlineStr">
        <is>
          <t>Y5</t>
        </is>
      </c>
      <c r="H28" s="5" t="inlineStr">
        <is>
          <t>Y6</t>
        </is>
      </c>
      <c r="I28" s="5" t="inlineStr">
        <is>
          <t>Y7</t>
        </is>
      </c>
      <c r="J28" s="5" t="inlineStr">
        <is>
          <t>Y8</t>
        </is>
      </c>
      <c r="K28" s="5" t="inlineStr">
        <is>
          <t>Y9</t>
        </is>
      </c>
      <c r="L28" s="5" t="inlineStr">
        <is>
          <t>Y10</t>
        </is>
      </c>
    </row>
    <row r="29">
      <c r="A29" s="3" t="inlineStr">
        <is>
          <t>Year index</t>
        </is>
      </c>
      <c r="C29" s="21" t="n">
        <v>1</v>
      </c>
      <c r="D29" s="21" t="n">
        <v>2</v>
      </c>
      <c r="E29" s="21" t="n">
        <v>3</v>
      </c>
      <c r="F29" s="21" t="n">
        <v>4</v>
      </c>
      <c r="G29" s="21" t="n">
        <v>5</v>
      </c>
      <c r="H29" s="21" t="n">
        <v>6</v>
      </c>
      <c r="I29" s="21" t="n">
        <v>7</v>
      </c>
      <c r="J29" s="21" t="n">
        <v>8</v>
      </c>
      <c r="K29" s="21" t="n">
        <v>9</v>
      </c>
      <c r="L29" s="21" t="n">
        <v>10</v>
      </c>
    </row>
    <row r="30">
      <c r="A30" s="3" t="inlineStr">
        <is>
          <t>Revenue growth</t>
        </is>
      </c>
      <c r="C30" s="11">
        <f>$B$21+($B$22-$B$21)*(C29-1)/9</f>
        <v/>
      </c>
      <c r="D30" s="11">
        <f>$B$21+($B$22-$B$21)*(D29-1)/9</f>
        <v/>
      </c>
      <c r="E30" s="11">
        <f>$B$21+($B$22-$B$21)*(E29-1)/9</f>
        <v/>
      </c>
      <c r="F30" s="11">
        <f>$B$21+($B$22-$B$21)*(F29-1)/9</f>
        <v/>
      </c>
      <c r="G30" s="11">
        <f>$B$21+($B$22-$B$21)*(G29-1)/9</f>
        <v/>
      </c>
      <c r="H30" s="11">
        <f>$B$21+($B$22-$B$21)*(H29-1)/9</f>
        <v/>
      </c>
      <c r="I30" s="11">
        <f>$B$21+($B$22-$B$21)*(I29-1)/9</f>
        <v/>
      </c>
      <c r="J30" s="11">
        <f>$B$21+($B$22-$B$21)*(J29-1)/9</f>
        <v/>
      </c>
      <c r="K30" s="11">
        <f>$B$21+($B$22-$B$21)*(K29-1)/9</f>
        <v/>
      </c>
      <c r="L30" s="11">
        <f>$B$21+($B$22-$B$21)*(L29-1)/9</f>
        <v/>
      </c>
    </row>
    <row r="31">
      <c r="A31" s="3" t="inlineStr">
        <is>
          <t>Revenue ($bn)</t>
        </is>
      </c>
      <c r="C31" s="17">
        <f>$B$7*(1+C30)</f>
        <v/>
      </c>
      <c r="D31" s="17">
        <f>C31*(1+D30)</f>
        <v/>
      </c>
      <c r="E31" s="17">
        <f>D31*(1+E30)</f>
        <v/>
      </c>
      <c r="F31" s="17">
        <f>E31*(1+F30)</f>
        <v/>
      </c>
      <c r="G31" s="17">
        <f>F31*(1+G30)</f>
        <v/>
      </c>
      <c r="H31" s="17">
        <f>G31*(1+H30)</f>
        <v/>
      </c>
      <c r="I31" s="17">
        <f>H31*(1+I30)</f>
        <v/>
      </c>
      <c r="J31" s="17">
        <f>I31*(1+J30)</f>
        <v/>
      </c>
      <c r="K31" s="17">
        <f>J31*(1+K30)</f>
        <v/>
      </c>
      <c r="L31" s="17">
        <f>K31*(1+L30)</f>
        <v/>
      </c>
    </row>
    <row r="32">
      <c r="A32" s="3" t="inlineStr">
        <is>
          <t>SBC-adjusted FCF margin</t>
        </is>
      </c>
      <c r="C32" s="11">
        <f>$B$16+($B$23-$B$16)*MIN(C29,$B$25)/$B$25</f>
        <v/>
      </c>
      <c r="D32" s="11">
        <f>$B$16+($B$23-$B$16)*MIN(D29,$B$25)/$B$25</f>
        <v/>
      </c>
      <c r="E32" s="11">
        <f>$B$16+($B$23-$B$16)*MIN(E29,$B$25)/$B$25</f>
        <v/>
      </c>
      <c r="F32" s="11">
        <f>$B$16+($B$23-$B$16)*MIN(F29,$B$25)/$B$25</f>
        <v/>
      </c>
      <c r="G32" s="11">
        <f>$B$16+($B$23-$B$16)*MIN(G29,$B$25)/$B$25</f>
        <v/>
      </c>
      <c r="H32" s="11">
        <f>$B$16+($B$23-$B$16)*MIN(H29,$B$25)/$B$25</f>
        <v/>
      </c>
      <c r="I32" s="11">
        <f>$B$16+($B$23-$B$16)*MIN(I29,$B$25)/$B$25</f>
        <v/>
      </c>
      <c r="J32" s="11">
        <f>$B$16+($B$23-$B$16)*MIN(J29,$B$25)/$B$25</f>
        <v/>
      </c>
      <c r="K32" s="11">
        <f>$B$16+($B$23-$B$16)*MIN(K29,$B$25)/$B$25</f>
        <v/>
      </c>
      <c r="L32" s="11">
        <f>$B$16+($B$23-$B$16)*MIN(L29,$B$25)/$B$25</f>
        <v/>
      </c>
    </row>
    <row r="33">
      <c r="A33" s="3" t="inlineStr">
        <is>
          <t>SBC-adjusted FCF ($bn)</t>
        </is>
      </c>
      <c r="C33" s="17">
        <f>C31*C32</f>
        <v/>
      </c>
      <c r="D33" s="17">
        <f>D31*D32</f>
        <v/>
      </c>
      <c r="E33" s="17">
        <f>E31*E32</f>
        <v/>
      </c>
      <c r="F33" s="17">
        <f>F31*F32</f>
        <v/>
      </c>
      <c r="G33" s="17">
        <f>G31*G32</f>
        <v/>
      </c>
      <c r="H33" s="17">
        <f>H31*H32</f>
        <v/>
      </c>
      <c r="I33" s="17">
        <f>I31*I32</f>
        <v/>
      </c>
      <c r="J33" s="17">
        <f>J31*J32</f>
        <v/>
      </c>
      <c r="K33" s="17">
        <f>K31*K32</f>
        <v/>
      </c>
      <c r="L33" s="17">
        <f>L31*L32</f>
        <v/>
      </c>
    </row>
    <row r="34">
      <c r="A34" s="3" t="inlineStr">
        <is>
          <t>Discount factor</t>
        </is>
      </c>
      <c r="C34" s="22">
        <f>1/(1+$B$13)^C29</f>
        <v/>
      </c>
      <c r="D34" s="22">
        <f>1/(1+$B$13)^D29</f>
        <v/>
      </c>
      <c r="E34" s="22">
        <f>1/(1+$B$13)^E29</f>
        <v/>
      </c>
      <c r="F34" s="22">
        <f>1/(1+$B$13)^F29</f>
        <v/>
      </c>
      <c r="G34" s="22">
        <f>1/(1+$B$13)^G29</f>
        <v/>
      </c>
      <c r="H34" s="22">
        <f>1/(1+$B$13)^H29</f>
        <v/>
      </c>
      <c r="I34" s="22">
        <f>1/(1+$B$13)^I29</f>
        <v/>
      </c>
      <c r="J34" s="22">
        <f>1/(1+$B$13)^J29</f>
        <v/>
      </c>
      <c r="K34" s="22">
        <f>1/(1+$B$13)^K29</f>
        <v/>
      </c>
      <c r="L34" s="22">
        <f>1/(1+$B$13)^L29</f>
        <v/>
      </c>
    </row>
    <row r="35">
      <c r="A35" s="3" t="inlineStr">
        <is>
          <t>Present value of FCF ($bn)</t>
        </is>
      </c>
      <c r="C35" s="17">
        <f>C33*C34</f>
        <v/>
      </c>
      <c r="D35" s="17">
        <f>D33*D34</f>
        <v/>
      </c>
      <c r="E35" s="17">
        <f>E33*E34</f>
        <v/>
      </c>
      <c r="F35" s="17">
        <f>F33*F34</f>
        <v/>
      </c>
      <c r="G35" s="17">
        <f>G33*G34</f>
        <v/>
      </c>
      <c r="H35" s="17">
        <f>H33*H34</f>
        <v/>
      </c>
      <c r="I35" s="17">
        <f>I33*I34</f>
        <v/>
      </c>
      <c r="J35" s="17">
        <f>J33*J34</f>
        <v/>
      </c>
      <c r="K35" s="17">
        <f>K33*K34</f>
        <v/>
      </c>
      <c r="L35" s="17">
        <f>L33*L34</f>
        <v/>
      </c>
    </row>
    <row r="37">
      <c r="A37" s="6" t="inlineStr">
        <is>
          <t>Base case</t>
        </is>
      </c>
      <c r="C37" s="5" t="inlineStr">
        <is>
          <t>Y1</t>
        </is>
      </c>
      <c r="D37" s="5" t="inlineStr">
        <is>
          <t>Y2</t>
        </is>
      </c>
      <c r="E37" s="5" t="inlineStr">
        <is>
          <t>Y3</t>
        </is>
      </c>
      <c r="F37" s="5" t="inlineStr">
        <is>
          <t>Y4</t>
        </is>
      </c>
      <c r="G37" s="5" t="inlineStr">
        <is>
          <t>Y5</t>
        </is>
      </c>
      <c r="H37" s="5" t="inlineStr">
        <is>
          <t>Y6</t>
        </is>
      </c>
      <c r="I37" s="5" t="inlineStr">
        <is>
          <t>Y7</t>
        </is>
      </c>
      <c r="J37" s="5" t="inlineStr">
        <is>
          <t>Y8</t>
        </is>
      </c>
      <c r="K37" s="5" t="inlineStr">
        <is>
          <t>Y9</t>
        </is>
      </c>
      <c r="L37" s="5" t="inlineStr">
        <is>
          <t>Y10</t>
        </is>
      </c>
    </row>
    <row r="38">
      <c r="A38" s="3" t="inlineStr">
        <is>
          <t>Year index</t>
        </is>
      </c>
      <c r="C38" s="21" t="n">
        <v>1</v>
      </c>
      <c r="D38" s="21" t="n">
        <v>2</v>
      </c>
      <c r="E38" s="21" t="n">
        <v>3</v>
      </c>
      <c r="F38" s="21" t="n">
        <v>4</v>
      </c>
      <c r="G38" s="21" t="n">
        <v>5</v>
      </c>
      <c r="H38" s="21" t="n">
        <v>6</v>
      </c>
      <c r="I38" s="21" t="n">
        <v>7</v>
      </c>
      <c r="J38" s="21" t="n">
        <v>8</v>
      </c>
      <c r="K38" s="21" t="n">
        <v>9</v>
      </c>
      <c r="L38" s="21" t="n">
        <v>10</v>
      </c>
    </row>
    <row r="39">
      <c r="A39" s="3" t="inlineStr">
        <is>
          <t>Revenue growth</t>
        </is>
      </c>
      <c r="C39" s="11">
        <f>$C$21+($C$22-$C$21)*(C38-1)/9</f>
        <v/>
      </c>
      <c r="D39" s="11">
        <f>$C$21+($C$22-$C$21)*(D38-1)/9</f>
        <v/>
      </c>
      <c r="E39" s="11">
        <f>$C$21+($C$22-$C$21)*(E38-1)/9</f>
        <v/>
      </c>
      <c r="F39" s="11">
        <f>$C$21+($C$22-$C$21)*(F38-1)/9</f>
        <v/>
      </c>
      <c r="G39" s="11">
        <f>$C$21+($C$22-$C$21)*(G38-1)/9</f>
        <v/>
      </c>
      <c r="H39" s="11">
        <f>$C$21+($C$22-$C$21)*(H38-1)/9</f>
        <v/>
      </c>
      <c r="I39" s="11">
        <f>$C$21+($C$22-$C$21)*(I38-1)/9</f>
        <v/>
      </c>
      <c r="J39" s="11">
        <f>$C$21+($C$22-$C$21)*(J38-1)/9</f>
        <v/>
      </c>
      <c r="K39" s="11">
        <f>$C$21+($C$22-$C$21)*(K38-1)/9</f>
        <v/>
      </c>
      <c r="L39" s="11">
        <f>$C$21+($C$22-$C$21)*(L38-1)/9</f>
        <v/>
      </c>
    </row>
    <row r="40">
      <c r="A40" s="3" t="inlineStr">
        <is>
          <t>Revenue ($bn)</t>
        </is>
      </c>
      <c r="C40" s="17">
        <f>$B$7*(1+C39)</f>
        <v/>
      </c>
      <c r="D40" s="17">
        <f>C40*(1+D39)</f>
        <v/>
      </c>
      <c r="E40" s="17">
        <f>D40*(1+E39)</f>
        <v/>
      </c>
      <c r="F40" s="17">
        <f>E40*(1+F39)</f>
        <v/>
      </c>
      <c r="G40" s="17">
        <f>F40*(1+G39)</f>
        <v/>
      </c>
      <c r="H40" s="17">
        <f>G40*(1+H39)</f>
        <v/>
      </c>
      <c r="I40" s="17">
        <f>H40*(1+I39)</f>
        <v/>
      </c>
      <c r="J40" s="17">
        <f>I40*(1+J39)</f>
        <v/>
      </c>
      <c r="K40" s="17">
        <f>J40*(1+K39)</f>
        <v/>
      </c>
      <c r="L40" s="17">
        <f>K40*(1+L39)</f>
        <v/>
      </c>
    </row>
    <row r="41">
      <c r="A41" s="3" t="inlineStr">
        <is>
          <t>SBC-adjusted FCF margin</t>
        </is>
      </c>
      <c r="C41" s="11">
        <f>$B$16+($C$23-$B$16)*MIN(C38,$B$25)/$B$25</f>
        <v/>
      </c>
      <c r="D41" s="11">
        <f>$B$16+($C$23-$B$16)*MIN(D38,$B$25)/$B$25</f>
        <v/>
      </c>
      <c r="E41" s="11">
        <f>$B$16+($C$23-$B$16)*MIN(E38,$B$25)/$B$25</f>
        <v/>
      </c>
      <c r="F41" s="11">
        <f>$B$16+($C$23-$B$16)*MIN(F38,$B$25)/$B$25</f>
        <v/>
      </c>
      <c r="G41" s="11">
        <f>$B$16+($C$23-$B$16)*MIN(G38,$B$25)/$B$25</f>
        <v/>
      </c>
      <c r="H41" s="11">
        <f>$B$16+($C$23-$B$16)*MIN(H38,$B$25)/$B$25</f>
        <v/>
      </c>
      <c r="I41" s="11">
        <f>$B$16+($C$23-$B$16)*MIN(I38,$B$25)/$B$25</f>
        <v/>
      </c>
      <c r="J41" s="11">
        <f>$B$16+($C$23-$B$16)*MIN(J38,$B$25)/$B$25</f>
        <v/>
      </c>
      <c r="K41" s="11">
        <f>$B$16+($C$23-$B$16)*MIN(K38,$B$25)/$B$25</f>
        <v/>
      </c>
      <c r="L41" s="11">
        <f>$B$16+($C$23-$B$16)*MIN(L38,$B$25)/$B$25</f>
        <v/>
      </c>
    </row>
    <row r="42">
      <c r="A42" s="3" t="inlineStr">
        <is>
          <t>SBC-adjusted FCF ($bn)</t>
        </is>
      </c>
      <c r="C42" s="17">
        <f>C40*C41</f>
        <v/>
      </c>
      <c r="D42" s="17">
        <f>D40*D41</f>
        <v/>
      </c>
      <c r="E42" s="17">
        <f>E40*E41</f>
        <v/>
      </c>
      <c r="F42" s="17">
        <f>F40*F41</f>
        <v/>
      </c>
      <c r="G42" s="17">
        <f>G40*G41</f>
        <v/>
      </c>
      <c r="H42" s="17">
        <f>H40*H41</f>
        <v/>
      </c>
      <c r="I42" s="17">
        <f>I40*I41</f>
        <v/>
      </c>
      <c r="J42" s="17">
        <f>J40*J41</f>
        <v/>
      </c>
      <c r="K42" s="17">
        <f>K40*K41</f>
        <v/>
      </c>
      <c r="L42" s="17">
        <f>L40*L41</f>
        <v/>
      </c>
    </row>
    <row r="43">
      <c r="A43" s="3" t="inlineStr">
        <is>
          <t>Discount factor</t>
        </is>
      </c>
      <c r="C43" s="22">
        <f>1/(1+$B$13)^C38</f>
        <v/>
      </c>
      <c r="D43" s="22">
        <f>1/(1+$B$13)^D38</f>
        <v/>
      </c>
      <c r="E43" s="22">
        <f>1/(1+$B$13)^E38</f>
        <v/>
      </c>
      <c r="F43" s="22">
        <f>1/(1+$B$13)^F38</f>
        <v/>
      </c>
      <c r="G43" s="22">
        <f>1/(1+$B$13)^G38</f>
        <v/>
      </c>
      <c r="H43" s="22">
        <f>1/(1+$B$13)^H38</f>
        <v/>
      </c>
      <c r="I43" s="22">
        <f>1/(1+$B$13)^I38</f>
        <v/>
      </c>
      <c r="J43" s="22">
        <f>1/(1+$B$13)^J38</f>
        <v/>
      </c>
      <c r="K43" s="22">
        <f>1/(1+$B$13)^K38</f>
        <v/>
      </c>
      <c r="L43" s="22">
        <f>1/(1+$B$13)^L38</f>
        <v/>
      </c>
    </row>
    <row r="44">
      <c r="A44" s="3" t="inlineStr">
        <is>
          <t>Present value of FCF ($bn)</t>
        </is>
      </c>
      <c r="C44" s="17">
        <f>C42*C43</f>
        <v/>
      </c>
      <c r="D44" s="17">
        <f>D42*D43</f>
        <v/>
      </c>
      <c r="E44" s="17">
        <f>E42*E43</f>
        <v/>
      </c>
      <c r="F44" s="17">
        <f>F42*F43</f>
        <v/>
      </c>
      <c r="G44" s="17">
        <f>G42*G43</f>
        <v/>
      </c>
      <c r="H44" s="17">
        <f>H42*H43</f>
        <v/>
      </c>
      <c r="I44" s="17">
        <f>I42*I43</f>
        <v/>
      </c>
      <c r="J44" s="17">
        <f>J42*J43</f>
        <v/>
      </c>
      <c r="K44" s="17">
        <f>K42*K43</f>
        <v/>
      </c>
      <c r="L44" s="17">
        <f>L42*L43</f>
        <v/>
      </c>
    </row>
    <row r="46">
      <c r="A46" s="6" t="inlineStr">
        <is>
          <t>Bull case</t>
        </is>
      </c>
      <c r="C46" s="5" t="inlineStr">
        <is>
          <t>Y1</t>
        </is>
      </c>
      <c r="D46" s="5" t="inlineStr">
        <is>
          <t>Y2</t>
        </is>
      </c>
      <c r="E46" s="5" t="inlineStr">
        <is>
          <t>Y3</t>
        </is>
      </c>
      <c r="F46" s="5" t="inlineStr">
        <is>
          <t>Y4</t>
        </is>
      </c>
      <c r="G46" s="5" t="inlineStr">
        <is>
          <t>Y5</t>
        </is>
      </c>
      <c r="H46" s="5" t="inlineStr">
        <is>
          <t>Y6</t>
        </is>
      </c>
      <c r="I46" s="5" t="inlineStr">
        <is>
          <t>Y7</t>
        </is>
      </c>
      <c r="J46" s="5" t="inlineStr">
        <is>
          <t>Y8</t>
        </is>
      </c>
      <c r="K46" s="5" t="inlineStr">
        <is>
          <t>Y9</t>
        </is>
      </c>
      <c r="L46" s="5" t="inlineStr">
        <is>
          <t>Y10</t>
        </is>
      </c>
    </row>
    <row r="47">
      <c r="A47" s="3" t="inlineStr">
        <is>
          <t>Year index</t>
        </is>
      </c>
      <c r="C47" s="21" t="n">
        <v>1</v>
      </c>
      <c r="D47" s="21" t="n">
        <v>2</v>
      </c>
      <c r="E47" s="21" t="n">
        <v>3</v>
      </c>
      <c r="F47" s="21" t="n">
        <v>4</v>
      </c>
      <c r="G47" s="21" t="n">
        <v>5</v>
      </c>
      <c r="H47" s="21" t="n">
        <v>6</v>
      </c>
      <c r="I47" s="21" t="n">
        <v>7</v>
      </c>
      <c r="J47" s="21" t="n">
        <v>8</v>
      </c>
      <c r="K47" s="21" t="n">
        <v>9</v>
      </c>
      <c r="L47" s="21" t="n">
        <v>10</v>
      </c>
    </row>
    <row r="48">
      <c r="A48" s="3" t="inlineStr">
        <is>
          <t>Revenue growth</t>
        </is>
      </c>
      <c r="C48" s="11">
        <f>$D$21+($D$22-$D$21)*(C47-1)/9</f>
        <v/>
      </c>
      <c r="D48" s="11">
        <f>$D$21+($D$22-$D$21)*(D47-1)/9</f>
        <v/>
      </c>
      <c r="E48" s="11">
        <f>$D$21+($D$22-$D$21)*(E47-1)/9</f>
        <v/>
      </c>
      <c r="F48" s="11">
        <f>$D$21+($D$22-$D$21)*(F47-1)/9</f>
        <v/>
      </c>
      <c r="G48" s="11">
        <f>$D$21+($D$22-$D$21)*(G47-1)/9</f>
        <v/>
      </c>
      <c r="H48" s="11">
        <f>$D$21+($D$22-$D$21)*(H47-1)/9</f>
        <v/>
      </c>
      <c r="I48" s="11">
        <f>$D$21+($D$22-$D$21)*(I47-1)/9</f>
        <v/>
      </c>
      <c r="J48" s="11">
        <f>$D$21+($D$22-$D$21)*(J47-1)/9</f>
        <v/>
      </c>
      <c r="K48" s="11">
        <f>$D$21+($D$22-$D$21)*(K47-1)/9</f>
        <v/>
      </c>
      <c r="L48" s="11">
        <f>$D$21+($D$22-$D$21)*(L47-1)/9</f>
        <v/>
      </c>
    </row>
    <row r="49">
      <c r="A49" s="3" t="inlineStr">
        <is>
          <t>Revenue ($bn)</t>
        </is>
      </c>
      <c r="C49" s="17">
        <f>$B$7*(1+C48)</f>
        <v/>
      </c>
      <c r="D49" s="17">
        <f>C49*(1+D48)</f>
        <v/>
      </c>
      <c r="E49" s="17">
        <f>D49*(1+E48)</f>
        <v/>
      </c>
      <c r="F49" s="17">
        <f>E49*(1+F48)</f>
        <v/>
      </c>
      <c r="G49" s="17">
        <f>F49*(1+G48)</f>
        <v/>
      </c>
      <c r="H49" s="17">
        <f>G49*(1+H48)</f>
        <v/>
      </c>
      <c r="I49" s="17">
        <f>H49*(1+I48)</f>
        <v/>
      </c>
      <c r="J49" s="17">
        <f>I49*(1+J48)</f>
        <v/>
      </c>
      <c r="K49" s="17">
        <f>J49*(1+K48)</f>
        <v/>
      </c>
      <c r="L49" s="17">
        <f>K49*(1+L48)</f>
        <v/>
      </c>
    </row>
    <row r="50">
      <c r="A50" s="3" t="inlineStr">
        <is>
          <t>SBC-adjusted FCF margin</t>
        </is>
      </c>
      <c r="C50" s="11">
        <f>$B$16+($D$23-$B$16)*MIN(C47,$B$25)/$B$25</f>
        <v/>
      </c>
      <c r="D50" s="11">
        <f>$B$16+($D$23-$B$16)*MIN(D47,$B$25)/$B$25</f>
        <v/>
      </c>
      <c r="E50" s="11">
        <f>$B$16+($D$23-$B$16)*MIN(E47,$B$25)/$B$25</f>
        <v/>
      </c>
      <c r="F50" s="11">
        <f>$B$16+($D$23-$B$16)*MIN(F47,$B$25)/$B$25</f>
        <v/>
      </c>
      <c r="G50" s="11">
        <f>$B$16+($D$23-$B$16)*MIN(G47,$B$25)/$B$25</f>
        <v/>
      </c>
      <c r="H50" s="11">
        <f>$B$16+($D$23-$B$16)*MIN(H47,$B$25)/$B$25</f>
        <v/>
      </c>
      <c r="I50" s="11">
        <f>$B$16+($D$23-$B$16)*MIN(I47,$B$25)/$B$25</f>
        <v/>
      </c>
      <c r="J50" s="11">
        <f>$B$16+($D$23-$B$16)*MIN(J47,$B$25)/$B$25</f>
        <v/>
      </c>
      <c r="K50" s="11">
        <f>$B$16+($D$23-$B$16)*MIN(K47,$B$25)/$B$25</f>
        <v/>
      </c>
      <c r="L50" s="11">
        <f>$B$16+($D$23-$B$16)*MIN(L47,$B$25)/$B$25</f>
        <v/>
      </c>
    </row>
    <row r="51">
      <c r="A51" s="3" t="inlineStr">
        <is>
          <t>SBC-adjusted FCF ($bn)</t>
        </is>
      </c>
      <c r="C51" s="17">
        <f>C49*C50</f>
        <v/>
      </c>
      <c r="D51" s="17">
        <f>D49*D50</f>
        <v/>
      </c>
      <c r="E51" s="17">
        <f>E49*E50</f>
        <v/>
      </c>
      <c r="F51" s="17">
        <f>F49*F50</f>
        <v/>
      </c>
      <c r="G51" s="17">
        <f>G49*G50</f>
        <v/>
      </c>
      <c r="H51" s="17">
        <f>H49*H50</f>
        <v/>
      </c>
      <c r="I51" s="17">
        <f>I49*I50</f>
        <v/>
      </c>
      <c r="J51" s="17">
        <f>J49*J50</f>
        <v/>
      </c>
      <c r="K51" s="17">
        <f>K49*K50</f>
        <v/>
      </c>
      <c r="L51" s="17">
        <f>L49*L50</f>
        <v/>
      </c>
    </row>
    <row r="52">
      <c r="A52" s="3" t="inlineStr">
        <is>
          <t>Discount factor</t>
        </is>
      </c>
      <c r="C52" s="22">
        <f>1/(1+$B$13)^C47</f>
        <v/>
      </c>
      <c r="D52" s="22">
        <f>1/(1+$B$13)^D47</f>
        <v/>
      </c>
      <c r="E52" s="22">
        <f>1/(1+$B$13)^E47</f>
        <v/>
      </c>
      <c r="F52" s="22">
        <f>1/(1+$B$13)^F47</f>
        <v/>
      </c>
      <c r="G52" s="22">
        <f>1/(1+$B$13)^G47</f>
        <v/>
      </c>
      <c r="H52" s="22">
        <f>1/(1+$B$13)^H47</f>
        <v/>
      </c>
      <c r="I52" s="22">
        <f>1/(1+$B$13)^I47</f>
        <v/>
      </c>
      <c r="J52" s="22">
        <f>1/(1+$B$13)^J47</f>
        <v/>
      </c>
      <c r="K52" s="22">
        <f>1/(1+$B$13)^K47</f>
        <v/>
      </c>
      <c r="L52" s="22">
        <f>1/(1+$B$13)^L47</f>
        <v/>
      </c>
    </row>
    <row r="53">
      <c r="A53" s="3" t="inlineStr">
        <is>
          <t>Present value of FCF ($bn)</t>
        </is>
      </c>
      <c r="C53" s="17">
        <f>C51*C52</f>
        <v/>
      </c>
      <c r="D53" s="17">
        <f>D51*D52</f>
        <v/>
      </c>
      <c r="E53" s="17">
        <f>E51*E52</f>
        <v/>
      </c>
      <c r="F53" s="17">
        <f>F51*F52</f>
        <v/>
      </c>
      <c r="G53" s="17">
        <f>G51*G52</f>
        <v/>
      </c>
      <c r="H53" s="17">
        <f>H51*H52</f>
        <v/>
      </c>
      <c r="I53" s="17">
        <f>I51*I52</f>
        <v/>
      </c>
      <c r="J53" s="17">
        <f>J51*J52</f>
        <v/>
      </c>
      <c r="K53" s="17">
        <f>K51*K52</f>
        <v/>
      </c>
      <c r="L53" s="17">
        <f>L51*L52</f>
        <v/>
      </c>
    </row>
    <row r="56">
      <c r="A56" s="12" t="inlineStr">
        <is>
          <t>4. Valuation</t>
        </is>
      </c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</row>
    <row r="57">
      <c r="B57" s="5" t="inlineStr">
        <is>
          <t>Bear</t>
        </is>
      </c>
      <c r="C57" s="5" t="inlineStr">
        <is>
          <t>Base</t>
        </is>
      </c>
      <c r="D57" s="5" t="inlineStr">
        <is>
          <t>Bull</t>
        </is>
      </c>
    </row>
    <row r="58">
      <c r="A58" s="3" t="inlineStr">
        <is>
          <t>PV of years 1 to 10 FCF ($bn)</t>
        </is>
      </c>
      <c r="B58" s="17">
        <f>SUM(C35:L35)</f>
        <v/>
      </c>
      <c r="C58" s="17">
        <f>SUM(C44:L44)</f>
        <v/>
      </c>
      <c r="D58" s="17">
        <f>SUM(C53:L53)</f>
        <v/>
      </c>
    </row>
    <row r="59">
      <c r="A59" s="3" t="inlineStr">
        <is>
          <t>Terminal value at year 10 ($bn)</t>
        </is>
      </c>
      <c r="B59" s="17">
        <f>L33*(1+$B$14)/($B$13-$B$14)</f>
        <v/>
      </c>
      <c r="C59" s="17">
        <f>L42*(1+$B$14)/($B$13-$B$14)</f>
        <v/>
      </c>
      <c r="D59" s="17">
        <f>L51*(1+$B$14)/($B$13-$B$14)</f>
        <v/>
      </c>
    </row>
    <row r="60">
      <c r="A60" s="3" t="inlineStr">
        <is>
          <t>PV of terminal value ($bn)</t>
        </is>
      </c>
      <c r="B60" s="17">
        <f>B59*L34</f>
        <v/>
      </c>
      <c r="C60" s="17">
        <f>C59*L43</f>
        <v/>
      </c>
      <c r="D60" s="17">
        <f>D59*L52</f>
        <v/>
      </c>
    </row>
    <row r="61">
      <c r="A61" s="3" t="inlineStr">
        <is>
          <t>Enterprise value ($bn)</t>
        </is>
      </c>
      <c r="B61" s="17">
        <f>B58+B60</f>
        <v/>
      </c>
      <c r="C61" s="17">
        <f>C58+C60</f>
        <v/>
      </c>
      <c r="D61" s="17">
        <f>D58+D60</f>
        <v/>
      </c>
    </row>
    <row r="62">
      <c r="A62" s="3" t="inlineStr">
        <is>
          <t>Equity value incl. adjusted net cash ($bn)</t>
        </is>
      </c>
      <c r="B62" s="17">
        <f>B61+$B$17</f>
        <v/>
      </c>
      <c r="C62" s="17">
        <f>C61+$B$17</f>
        <v/>
      </c>
      <c r="D62" s="17">
        <f>D61+$B$17</f>
        <v/>
      </c>
    </row>
    <row r="63">
      <c r="A63" s="3" t="inlineStr">
        <is>
          <t>Value per share (US$)</t>
        </is>
      </c>
      <c r="B63" s="23">
        <f>B62/$B$6</f>
        <v/>
      </c>
      <c r="C63" s="23">
        <f>C62/$B$6</f>
        <v/>
      </c>
      <c r="D63" s="23">
        <f>D62/$B$6</f>
        <v/>
      </c>
    </row>
    <row r="64">
      <c r="A64" s="3" t="inlineStr">
        <is>
          <t>Terminal value as share of EV</t>
        </is>
      </c>
      <c r="B64" s="11">
        <f>B60/B61</f>
        <v/>
      </c>
      <c r="C64" s="11">
        <f>C60/C61</f>
        <v/>
      </c>
      <c r="D64" s="11">
        <f>D60/D61</f>
        <v/>
      </c>
    </row>
    <row r="66">
      <c r="A66" s="6" t="inlineStr">
        <is>
          <t>Probability-weighted fair value (US$)</t>
        </is>
      </c>
      <c r="B66" s="23">
        <f>SUMPRODUCT(B63:D63,B24:D24)</f>
        <v/>
      </c>
    </row>
    <row r="67">
      <c r="A67" s="3" t="inlineStr">
        <is>
          <t>Buy-below price after margin of safety (US$)</t>
        </is>
      </c>
      <c r="B67" s="24">
        <f>B66*(1-B15)</f>
        <v/>
      </c>
    </row>
    <row r="68">
      <c r="A68" s="3" t="inlineStr">
        <is>
          <t>Current price (US$)</t>
        </is>
      </c>
      <c r="B68" s="24">
        <f>B5</f>
        <v/>
      </c>
    </row>
    <row r="69">
      <c r="A69" s="3" t="inlineStr">
        <is>
          <t>Price vs fair value (positive = price above value)</t>
        </is>
      </c>
      <c r="B69" s="11">
        <f>B68/B66-1</f>
        <v/>
      </c>
    </row>
    <row r="70">
      <c r="A70" s="6" t="inlineStr">
        <is>
          <t>Status</t>
        </is>
      </c>
      <c r="B70" s="6">
        <f>IF(B68&lt;=B67,"Attractive",IF(B68&lt;=B66*(1-B15/2),"Potentially interesting",IF(B68&lt;=B66,"Little margin of safety","Above estimated value")))</f>
        <v/>
      </c>
    </row>
    <row r="71">
      <c r="A71" s="3" t="inlineStr">
        <is>
          <t>No-growth value per share (earnings power value, US$)</t>
        </is>
      </c>
      <c r="B71" s="24">
        <f>(B7*C23/B13+B17)/B6</f>
        <v/>
      </c>
    </row>
    <row r="72">
      <c r="A72" s="3" t="inlineStr">
        <is>
          <t>Implied annual return at today's price (base case)</t>
        </is>
      </c>
      <c r="B72" s="25">
        <f>IFERROR(INDEX($C$84:$L$84,MATCH($B$5,$C$85:$L$85,-1))+(INDEX($C$85:$L$85,MATCH($B$5,$C$85:$L$85,-1))-$B$5)/(INDEX($C$85:$L$85,MATCH($B$5,$C$85:$L$85,-1))-INDEX($C$85:$L$85,MATCH($B$5,$C$85:$L$85,-1)+1))*($D$84-$C$84),"outside grid")</f>
        <v/>
      </c>
      <c r="C72" s="2" t="inlineStr">
        <is>
          <t>Interpolated from the helper table in section 6 (accurate to about 0.1 point).</t>
        </is>
      </c>
    </row>
    <row r="73">
      <c r="A73" s="3" t="inlineStr">
        <is>
          <t>Year-1 revenue growth needed to justify price (goal-seek result)</t>
        </is>
      </c>
      <c r="B73" s="4" t="n">
        <v>0.3378535509109497</v>
      </c>
      <c r="C73" s="2" t="inlineStr">
        <is>
          <t>Solved with a goal-seek in the model script (base margin, growth fading to base year-10 rate). Re-run if inputs change.</t>
        </is>
      </c>
    </row>
    <row r="75">
      <c r="A75" s="12" t="inlineStr">
        <is>
          <t>5. Sensitivity: base-case value per share (US$) by required return and terminal growth</t>
        </is>
      </c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</row>
    <row r="76">
      <c r="A76" s="6" t="inlineStr">
        <is>
          <t>Required return (down) / terminal growth (across)</t>
        </is>
      </c>
      <c r="C76" s="25">
        <f>$B$14+(-0.01)</f>
        <v/>
      </c>
      <c r="D76" s="25">
        <f>$B$14+(-0.005)</f>
        <v/>
      </c>
      <c r="E76" s="25">
        <f>$B$14+(0)</f>
        <v/>
      </c>
      <c r="F76" s="25">
        <f>$B$14+(0.005)</f>
        <v/>
      </c>
      <c r="G76" s="25">
        <f>$B$14+(0.01)</f>
        <v/>
      </c>
    </row>
    <row r="77">
      <c r="B77" s="25">
        <f>$B$13+(-0.02)</f>
        <v/>
      </c>
      <c r="C77" s="24">
        <f>(SUMPRODUCT($C$42:$L$42/(1+$B77)^$C$38:$L$38)+$L$42*(1+C$76)/($B77-C$76)/(1+$B77)^$L$38+$B$17)/$B$6</f>
        <v/>
      </c>
      <c r="D77" s="24">
        <f>(SUMPRODUCT($C$42:$L$42/(1+$B77)^$C$38:$L$38)+$L$42*(1+D$76)/($B77-D$76)/(1+$B77)^$L$38+$B$17)/$B$6</f>
        <v/>
      </c>
      <c r="E77" s="24">
        <f>(SUMPRODUCT($C$42:$L$42/(1+$B77)^$C$38:$L$38)+$L$42*(1+E$76)/($B77-E$76)/(1+$B77)^$L$38+$B$17)/$B$6</f>
        <v/>
      </c>
      <c r="F77" s="24">
        <f>(SUMPRODUCT($C$42:$L$42/(1+$B77)^$C$38:$L$38)+$L$42*(1+F$76)/($B77-F$76)/(1+$B77)^$L$38+$B$17)/$B$6</f>
        <v/>
      </c>
      <c r="G77" s="24">
        <f>(SUMPRODUCT($C$42:$L$42/(1+$B77)^$C$38:$L$38)+$L$42*(1+G$76)/($B77-G$76)/(1+$B77)^$L$38+$B$17)/$B$6</f>
        <v/>
      </c>
    </row>
    <row r="78">
      <c r="B78" s="25">
        <f>$B$13+(-0.01)</f>
        <v/>
      </c>
      <c r="C78" s="24">
        <f>(SUMPRODUCT($C$42:$L$42/(1+$B78)^$C$38:$L$38)+$L$42*(1+C$76)/($B78-C$76)/(1+$B78)^$L$38+$B$17)/$B$6</f>
        <v/>
      </c>
      <c r="D78" s="24">
        <f>(SUMPRODUCT($C$42:$L$42/(1+$B78)^$C$38:$L$38)+$L$42*(1+D$76)/($B78-D$76)/(1+$B78)^$L$38+$B$17)/$B$6</f>
        <v/>
      </c>
      <c r="E78" s="24">
        <f>(SUMPRODUCT($C$42:$L$42/(1+$B78)^$C$38:$L$38)+$L$42*(1+E$76)/($B78-E$76)/(1+$B78)^$L$38+$B$17)/$B$6</f>
        <v/>
      </c>
      <c r="F78" s="24">
        <f>(SUMPRODUCT($C$42:$L$42/(1+$B78)^$C$38:$L$38)+$L$42*(1+F$76)/($B78-F$76)/(1+$B78)^$L$38+$B$17)/$B$6</f>
        <v/>
      </c>
      <c r="G78" s="24">
        <f>(SUMPRODUCT($C$42:$L$42/(1+$B78)^$C$38:$L$38)+$L$42*(1+G$76)/($B78-G$76)/(1+$B78)^$L$38+$B$17)/$B$6</f>
        <v/>
      </c>
    </row>
    <row r="79">
      <c r="B79" s="25">
        <f>$B$13+(0)</f>
        <v/>
      </c>
      <c r="C79" s="24">
        <f>(SUMPRODUCT($C$42:$L$42/(1+$B79)^$C$38:$L$38)+$L$42*(1+C$76)/($B79-C$76)/(1+$B79)^$L$38+$B$17)/$B$6</f>
        <v/>
      </c>
      <c r="D79" s="24">
        <f>(SUMPRODUCT($C$42:$L$42/(1+$B79)^$C$38:$L$38)+$L$42*(1+D$76)/($B79-D$76)/(1+$B79)^$L$38+$B$17)/$B$6</f>
        <v/>
      </c>
      <c r="E79" s="26">
        <f>(SUMPRODUCT($C$42:$L$42/(1+$B79)^$C$38:$L$38)+$L$42*(1+E$76)/($B79-E$76)/(1+$B79)^$L$38+$B$17)/$B$6</f>
        <v/>
      </c>
      <c r="F79" s="24">
        <f>(SUMPRODUCT($C$42:$L$42/(1+$B79)^$C$38:$L$38)+$L$42*(1+F$76)/($B79-F$76)/(1+$B79)^$L$38+$B$17)/$B$6</f>
        <v/>
      </c>
      <c r="G79" s="24">
        <f>(SUMPRODUCT($C$42:$L$42/(1+$B79)^$C$38:$L$38)+$L$42*(1+G$76)/($B79-G$76)/(1+$B79)^$L$38+$B$17)/$B$6</f>
        <v/>
      </c>
    </row>
    <row r="80">
      <c r="B80" s="25">
        <f>$B$13+(0.01)</f>
        <v/>
      </c>
      <c r="C80" s="24">
        <f>(SUMPRODUCT($C$42:$L$42/(1+$B80)^$C$38:$L$38)+$L$42*(1+C$76)/($B80-C$76)/(1+$B80)^$L$38+$B$17)/$B$6</f>
        <v/>
      </c>
      <c r="D80" s="24">
        <f>(SUMPRODUCT($C$42:$L$42/(1+$B80)^$C$38:$L$38)+$L$42*(1+D$76)/($B80-D$76)/(1+$B80)^$L$38+$B$17)/$B$6</f>
        <v/>
      </c>
      <c r="E80" s="24">
        <f>(SUMPRODUCT($C$42:$L$42/(1+$B80)^$C$38:$L$38)+$L$42*(1+E$76)/($B80-E$76)/(1+$B80)^$L$38+$B$17)/$B$6</f>
        <v/>
      </c>
      <c r="F80" s="24">
        <f>(SUMPRODUCT($C$42:$L$42/(1+$B80)^$C$38:$L$38)+$L$42*(1+F$76)/($B80-F$76)/(1+$B80)^$L$38+$B$17)/$B$6</f>
        <v/>
      </c>
      <c r="G80" s="24">
        <f>(SUMPRODUCT($C$42:$L$42/(1+$B80)^$C$38:$L$38)+$L$42*(1+G$76)/($B80-G$76)/(1+$B80)^$L$38+$B$17)/$B$6</f>
        <v/>
      </c>
    </row>
    <row r="81">
      <c r="B81" s="25">
        <f>$B$13+(0.02)</f>
        <v/>
      </c>
      <c r="C81" s="24">
        <f>(SUMPRODUCT($C$42:$L$42/(1+$B81)^$C$38:$L$38)+$L$42*(1+C$76)/($B81-C$76)/(1+$B81)^$L$38+$B$17)/$B$6</f>
        <v/>
      </c>
      <c r="D81" s="24">
        <f>(SUMPRODUCT($C$42:$L$42/(1+$B81)^$C$38:$L$38)+$L$42*(1+D$76)/($B81-D$76)/(1+$B81)^$L$38+$B$17)/$B$6</f>
        <v/>
      </c>
      <c r="E81" s="24">
        <f>(SUMPRODUCT($C$42:$L$42/(1+$B81)^$C$38:$L$38)+$L$42*(1+E$76)/($B81-E$76)/(1+$B81)^$L$38+$B$17)/$B$6</f>
        <v/>
      </c>
      <c r="F81" s="24">
        <f>(SUMPRODUCT($C$42:$L$42/(1+$B81)^$C$38:$L$38)+$L$42*(1+F$76)/($B81-F$76)/(1+$B81)^$L$38+$B$17)/$B$6</f>
        <v/>
      </c>
      <c r="G81" s="24">
        <f>(SUMPRODUCT($C$42:$L$42/(1+$B81)^$C$38:$L$38)+$L$42*(1+G$76)/($B81-G$76)/(1+$B81)^$L$38+$B$17)/$B$6</f>
        <v/>
      </c>
    </row>
    <row r="83">
      <c r="A83" s="12" t="inlineStr">
        <is>
          <t>6. Helper: base-case value at different required returns (used for the implied return above)</t>
        </is>
      </c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</row>
    <row r="84">
      <c r="A84" s="3" t="inlineStr">
        <is>
          <t>Required return</t>
        </is>
      </c>
      <c r="C84" s="4" t="n">
        <v>0.035</v>
      </c>
      <c r="D84" s="11">
        <f>C84+0.01</f>
        <v/>
      </c>
      <c r="E84" s="11">
        <f>D84+0.01</f>
        <v/>
      </c>
      <c r="F84" s="11">
        <f>E84+0.01</f>
        <v/>
      </c>
      <c r="G84" s="11">
        <f>F84+0.01</f>
        <v/>
      </c>
      <c r="H84" s="11">
        <f>G84+0.01</f>
        <v/>
      </c>
      <c r="I84" s="11">
        <f>H84+0.01</f>
        <v/>
      </c>
      <c r="J84" s="11">
        <f>I84+0.01</f>
        <v/>
      </c>
      <c r="K84" s="11">
        <f>J84+0.01</f>
        <v/>
      </c>
      <c r="L84" s="11">
        <f>K84+0.01</f>
        <v/>
      </c>
    </row>
    <row r="85">
      <c r="A85" s="3" t="inlineStr">
        <is>
          <t>Base-case value per share (US$)</t>
        </is>
      </c>
      <c r="C85" s="24">
        <f>(SUMPRODUCT($C$42:$L$42/(1+C84)^$C$38:$L$38)+$L$42*(1+$B$14)/(C84-$B$14)/(1+C84)^$L$38+$B$17)/$B$6</f>
        <v/>
      </c>
      <c r="D85" s="24">
        <f>(SUMPRODUCT($C$42:$L$42/(1+D84)^$C$38:$L$38)+$L$42*(1+$B$14)/(D84-$B$14)/(1+D84)^$L$38+$B$17)/$B$6</f>
        <v/>
      </c>
      <c r="E85" s="24">
        <f>(SUMPRODUCT($C$42:$L$42/(1+E84)^$C$38:$L$38)+$L$42*(1+$B$14)/(E84-$B$14)/(1+E84)^$L$38+$B$17)/$B$6</f>
        <v/>
      </c>
      <c r="F85" s="24">
        <f>(SUMPRODUCT($C$42:$L$42/(1+F84)^$C$38:$L$38)+$L$42*(1+$B$14)/(F84-$B$14)/(1+F84)^$L$38+$B$17)/$B$6</f>
        <v/>
      </c>
      <c r="G85" s="24">
        <f>(SUMPRODUCT($C$42:$L$42/(1+G84)^$C$38:$L$38)+$L$42*(1+$B$14)/(G84-$B$14)/(1+G84)^$L$38+$B$17)/$B$6</f>
        <v/>
      </c>
      <c r="H85" s="24">
        <f>(SUMPRODUCT($C$42:$L$42/(1+H84)^$C$38:$L$38)+$L$42*(1+$B$14)/(H84-$B$14)/(1+H84)^$L$38+$B$17)/$B$6</f>
        <v/>
      </c>
      <c r="I85" s="24">
        <f>(SUMPRODUCT($C$42:$L$42/(1+I84)^$C$38:$L$38)+$L$42*(1+$B$14)/(I84-$B$14)/(1+I84)^$L$38+$B$17)/$B$6</f>
        <v/>
      </c>
      <c r="J85" s="24">
        <f>(SUMPRODUCT($C$42:$L$42/(1+J84)^$C$38:$L$38)+$L$42*(1+$B$14)/(J84-$B$14)/(1+J84)^$L$38+$B$17)/$B$6</f>
        <v/>
      </c>
      <c r="K85" s="24">
        <f>(SUMPRODUCT($C$42:$L$42/(1+K84)^$C$38:$L$38)+$L$42*(1+$B$14)/(K84-$B$14)/(1+K84)^$L$38+$B$17)/$B$6</f>
        <v/>
      </c>
      <c r="L85" s="24">
        <f>(SUMPRODUCT($C$42:$L$42/(1+L84)^$C$38:$L$38)+$L$42*(1+$B$14)/(L84-$B$14)/(1+L84)^$L$38+$B$17)/$B$6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AMZN: Amazon.com Inc.</t>
        </is>
      </c>
    </row>
    <row r="2">
      <c r="A2" s="2" t="inlineStr">
        <is>
          <t>Blue = input you can change. Black = formula. Green = link to another tab. US$ billions unless stated; per-share values in US$.</t>
        </is>
      </c>
    </row>
    <row r="4">
      <c r="A4" s="12" t="inlineStr">
        <is>
          <t>1. Inputs (market data as of 14 Oct 2026 close; financials from latest filings)</t>
        </is>
      </c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</row>
    <row r="5">
      <c r="A5" s="3" t="inlineStr">
        <is>
          <t>Share price (US$)</t>
        </is>
      </c>
      <c r="B5" s="14" t="n">
        <v>254.08</v>
      </c>
      <c r="C5" s="2" t="inlineStr">
        <is>
          <t>Close 14 Oct 2026, StockAnalysis.com (S&amp;P Global data)</t>
        </is>
      </c>
    </row>
    <row r="6">
      <c r="A6" s="3" t="inlineStr">
        <is>
          <t>Shares outstanding (bn)</t>
        </is>
      </c>
      <c r="B6" s="15" t="n">
        <v>10.786</v>
      </c>
      <c r="C6" s="2" t="inlineStr">
        <is>
          <t>Amazon 10-Q: 10.786bn shares at 22 Jul 2026</t>
        </is>
      </c>
    </row>
    <row r="7">
      <c r="A7" s="3" t="inlineStr">
        <is>
          <t>TTM revenue ($bn)</t>
        </is>
      </c>
      <c r="B7" s="16" t="n">
        <v>775.7</v>
      </c>
      <c r="C7" s="2" t="inlineStr">
        <is>
          <t>Q2 2026 release: North America $453.7bn + International $173.6bn + AWS $148.4bn (TTM)</t>
        </is>
      </c>
    </row>
    <row r="8">
      <c r="A8" s="3" t="inlineStr">
        <is>
          <t>TTM free cash flow ($bn)</t>
        </is>
      </c>
      <c r="B8" s="16" t="n">
        <v>-7.604</v>
      </c>
      <c r="C8" s="2" t="inlineStr">
        <is>
          <t>Amazon Q2 2026 release: TTM free cash flow outflow of $7.6bn</t>
        </is>
      </c>
    </row>
    <row r="9">
      <c r="A9" s="3" t="inlineStr">
        <is>
          <t>TTM stock-based compensation ($bn)</t>
        </is>
      </c>
      <c r="B9" s="16" t="n">
        <v>22</v>
      </c>
      <c r="C9" s="2" t="inlineStr">
        <is>
          <t>ESTIMATE: about $22bn a year; not verified against the filing</t>
        </is>
      </c>
    </row>
    <row r="10">
      <c r="A10" s="3" t="inlineStr">
        <is>
          <t>Net cash / (debt) ($bn)</t>
        </is>
      </c>
      <c r="B10" s="16" t="n">
        <v>-100.2</v>
      </c>
      <c r="C10" s="2" t="inlineStr">
        <is>
          <t>StockAnalysis.com, 30 Jun 2026: cash $123.0bn less total debt $223.2bn including leases</t>
        </is>
      </c>
    </row>
    <row r="11">
      <c r="A11" s="3" t="inlineStr">
        <is>
          <t>Other assets at book value ($bn)</t>
        </is>
      </c>
      <c r="B11" s="16" t="n">
        <v>0</v>
      </c>
      <c r="C11" s="2" t="inlineStr">
        <is>
          <t>None. The Anthropic stake is not valued, so this is upside not counted.</t>
        </is>
      </c>
    </row>
    <row r="12">
      <c r="A12" s="3" t="inlineStr">
        <is>
          <t>Haircut applied to other assets</t>
        </is>
      </c>
      <c r="B12" s="4" t="n">
        <v>0</v>
      </c>
      <c r="C12" s="2" t="inlineStr">
        <is>
          <t>Judgement: private stakes valued at half of book</t>
        </is>
      </c>
    </row>
    <row r="13">
      <c r="A13" s="3" t="inlineStr">
        <is>
          <t>Required annual return</t>
        </is>
      </c>
      <c r="B13" s="4" t="n">
        <v>0.105</v>
      </c>
      <c r="C13" s="2" t="inlineStr">
        <is>
          <t>10-yr Treasury ~5.2% (Oct 2026) plus an equity premium of about 3.8 to 5.3 points</t>
        </is>
      </c>
    </row>
    <row r="14">
      <c r="A14" s="3" t="inlineStr">
        <is>
          <t>Terminal growth rate</t>
        </is>
      </c>
      <c r="B14" s="4" t="n">
        <v>0.025</v>
      </c>
      <c r="C14" s="2" t="inlineStr">
        <is>
          <t>Below long-run nominal GDP growth</t>
        </is>
      </c>
    </row>
    <row r="15">
      <c r="A15" s="3" t="inlineStr">
        <is>
          <t>Margin of safety</t>
        </is>
      </c>
      <c r="B15" s="4" t="n">
        <v>0.3</v>
      </c>
      <c r="C15" s="2" t="inlineStr">
        <is>
          <t>Wider for businesses whose free cash flow is currently depressed or uncertain</t>
        </is>
      </c>
    </row>
    <row r="16">
      <c r="A16" s="3" t="inlineStr">
        <is>
          <t>Current SBC-adjusted FCF margin</t>
        </is>
      </c>
      <c r="B16" s="11">
        <f>(B8-B9)/B7</f>
        <v/>
      </c>
      <c r="C16" s="2" t="inlineStr">
        <is>
          <t>(FCF minus stock-based compensation) divided by revenue</t>
        </is>
      </c>
    </row>
    <row r="17">
      <c r="A17" s="3" t="inlineStr">
        <is>
          <t>Adjusted net cash ($bn)</t>
        </is>
      </c>
      <c r="B17" s="17">
        <f>B10+B11*(1-B12)</f>
        <v/>
      </c>
    </row>
    <row r="19">
      <c r="A19" s="12" t="inlineStr">
        <is>
          <t>2. Scenario assumptions</t>
        </is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</row>
    <row r="20">
      <c r="B20" s="5" t="inlineStr">
        <is>
          <t>Bear</t>
        </is>
      </c>
      <c r="C20" s="5" t="inlineStr">
        <is>
          <t>Base</t>
        </is>
      </c>
      <c r="D20" s="5" t="inlineStr">
        <is>
          <t>Bull</t>
        </is>
      </c>
    </row>
    <row r="21">
      <c r="A21" s="3" t="inlineStr">
        <is>
          <t>Revenue growth, year 1</t>
        </is>
      </c>
      <c r="B21" s="4" t="n">
        <v>0.09</v>
      </c>
      <c r="C21" s="4" t="n">
        <v>0.13</v>
      </c>
      <c r="D21" s="4" t="n">
        <v>0.16</v>
      </c>
    </row>
    <row r="22">
      <c r="A22" s="3" t="inlineStr">
        <is>
          <t>Revenue growth, year 10</t>
        </is>
      </c>
      <c r="B22" s="4" t="n">
        <v>0.035</v>
      </c>
      <c r="C22" s="4" t="n">
        <v>0.05</v>
      </c>
      <c r="D22" s="4" t="n">
        <v>0.06</v>
      </c>
    </row>
    <row r="23">
      <c r="A23" s="3" t="inlineStr">
        <is>
          <t>Target SBC-adjusted FCF margin</t>
        </is>
      </c>
      <c r="B23" s="4" t="n">
        <v>0.05</v>
      </c>
      <c r="C23" s="4" t="n">
        <v>0.08500000000000001</v>
      </c>
      <c r="D23" s="4" t="n">
        <v>0.12</v>
      </c>
    </row>
    <row r="24">
      <c r="A24" s="3" t="inlineStr">
        <is>
          <t>Probability</t>
        </is>
      </c>
      <c r="B24" s="18" t="n">
        <v>0.3</v>
      </c>
      <c r="C24" s="18" t="n">
        <v>0.5</v>
      </c>
      <c r="D24" s="18" t="n">
        <v>0.2</v>
      </c>
      <c r="E24" s="19">
        <f>IF(ROUND(SUM(B24:D24),6)=1,"OK: sums to 100%","Probabilities must sum to 100%")</f>
        <v/>
      </c>
    </row>
    <row r="25">
      <c r="A25" s="3" t="inlineStr">
        <is>
          <t>Years to reach target margin</t>
        </is>
      </c>
      <c r="B25" s="20" t="n">
        <v>5</v>
      </c>
      <c r="C25" s="2" t="inlineStr">
        <is>
          <t>Growth fades in a straight line from year 1 to year 10; margin moves in a straight line to target.</t>
        </is>
      </c>
    </row>
    <row r="27">
      <c r="A27" s="12" t="inlineStr">
        <is>
          <t>3. Ten-year projection (growth fades linearly; value of years beyond year 10 is captured by the terminal value)</t>
        </is>
      </c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</row>
    <row r="28">
      <c r="A28" s="6" t="inlineStr">
        <is>
          <t>Bear case</t>
        </is>
      </c>
      <c r="C28" s="5" t="inlineStr">
        <is>
          <t>Y1</t>
        </is>
      </c>
      <c r="D28" s="5" t="inlineStr">
        <is>
          <t>Y2</t>
        </is>
      </c>
      <c r="E28" s="5" t="inlineStr">
        <is>
          <t>Y3</t>
        </is>
      </c>
      <c r="F28" s="5" t="inlineStr">
        <is>
          <t>Y4</t>
        </is>
      </c>
      <c r="G28" s="5" t="inlineStr">
        <is>
          <t>Y5</t>
        </is>
      </c>
      <c r="H28" s="5" t="inlineStr">
        <is>
          <t>Y6</t>
        </is>
      </c>
      <c r="I28" s="5" t="inlineStr">
        <is>
          <t>Y7</t>
        </is>
      </c>
      <c r="J28" s="5" t="inlineStr">
        <is>
          <t>Y8</t>
        </is>
      </c>
      <c r="K28" s="5" t="inlineStr">
        <is>
          <t>Y9</t>
        </is>
      </c>
      <c r="L28" s="5" t="inlineStr">
        <is>
          <t>Y10</t>
        </is>
      </c>
    </row>
    <row r="29">
      <c r="A29" s="3" t="inlineStr">
        <is>
          <t>Year index</t>
        </is>
      </c>
      <c r="C29" s="21" t="n">
        <v>1</v>
      </c>
      <c r="D29" s="21" t="n">
        <v>2</v>
      </c>
      <c r="E29" s="21" t="n">
        <v>3</v>
      </c>
      <c r="F29" s="21" t="n">
        <v>4</v>
      </c>
      <c r="G29" s="21" t="n">
        <v>5</v>
      </c>
      <c r="H29" s="21" t="n">
        <v>6</v>
      </c>
      <c r="I29" s="21" t="n">
        <v>7</v>
      </c>
      <c r="J29" s="21" t="n">
        <v>8</v>
      </c>
      <c r="K29" s="21" t="n">
        <v>9</v>
      </c>
      <c r="L29" s="21" t="n">
        <v>10</v>
      </c>
    </row>
    <row r="30">
      <c r="A30" s="3" t="inlineStr">
        <is>
          <t>Revenue growth</t>
        </is>
      </c>
      <c r="C30" s="11">
        <f>$B$21+($B$22-$B$21)*(C29-1)/9</f>
        <v/>
      </c>
      <c r="D30" s="11">
        <f>$B$21+($B$22-$B$21)*(D29-1)/9</f>
        <v/>
      </c>
      <c r="E30" s="11">
        <f>$B$21+($B$22-$B$21)*(E29-1)/9</f>
        <v/>
      </c>
      <c r="F30" s="11">
        <f>$B$21+($B$22-$B$21)*(F29-1)/9</f>
        <v/>
      </c>
      <c r="G30" s="11">
        <f>$B$21+($B$22-$B$21)*(G29-1)/9</f>
        <v/>
      </c>
      <c r="H30" s="11">
        <f>$B$21+($B$22-$B$21)*(H29-1)/9</f>
        <v/>
      </c>
      <c r="I30" s="11">
        <f>$B$21+($B$22-$B$21)*(I29-1)/9</f>
        <v/>
      </c>
      <c r="J30" s="11">
        <f>$B$21+($B$22-$B$21)*(J29-1)/9</f>
        <v/>
      </c>
      <c r="K30" s="11">
        <f>$B$21+($B$22-$B$21)*(K29-1)/9</f>
        <v/>
      </c>
      <c r="L30" s="11">
        <f>$B$21+($B$22-$B$21)*(L29-1)/9</f>
        <v/>
      </c>
    </row>
    <row r="31">
      <c r="A31" s="3" t="inlineStr">
        <is>
          <t>Revenue ($bn)</t>
        </is>
      </c>
      <c r="C31" s="17">
        <f>$B$7*(1+C30)</f>
        <v/>
      </c>
      <c r="D31" s="17">
        <f>C31*(1+D30)</f>
        <v/>
      </c>
      <c r="E31" s="17">
        <f>D31*(1+E30)</f>
        <v/>
      </c>
      <c r="F31" s="17">
        <f>E31*(1+F30)</f>
        <v/>
      </c>
      <c r="G31" s="17">
        <f>F31*(1+G30)</f>
        <v/>
      </c>
      <c r="H31" s="17">
        <f>G31*(1+H30)</f>
        <v/>
      </c>
      <c r="I31" s="17">
        <f>H31*(1+I30)</f>
        <v/>
      </c>
      <c r="J31" s="17">
        <f>I31*(1+J30)</f>
        <v/>
      </c>
      <c r="K31" s="17">
        <f>J31*(1+K30)</f>
        <v/>
      </c>
      <c r="L31" s="17">
        <f>K31*(1+L30)</f>
        <v/>
      </c>
    </row>
    <row r="32">
      <c r="A32" s="3" t="inlineStr">
        <is>
          <t>SBC-adjusted FCF margin</t>
        </is>
      </c>
      <c r="C32" s="11">
        <f>$B$16+($B$23-$B$16)*MIN(C29,$B$25)/$B$25</f>
        <v/>
      </c>
      <c r="D32" s="11">
        <f>$B$16+($B$23-$B$16)*MIN(D29,$B$25)/$B$25</f>
        <v/>
      </c>
      <c r="E32" s="11">
        <f>$B$16+($B$23-$B$16)*MIN(E29,$B$25)/$B$25</f>
        <v/>
      </c>
      <c r="F32" s="11">
        <f>$B$16+($B$23-$B$16)*MIN(F29,$B$25)/$B$25</f>
        <v/>
      </c>
      <c r="G32" s="11">
        <f>$B$16+($B$23-$B$16)*MIN(G29,$B$25)/$B$25</f>
        <v/>
      </c>
      <c r="H32" s="11">
        <f>$B$16+($B$23-$B$16)*MIN(H29,$B$25)/$B$25</f>
        <v/>
      </c>
      <c r="I32" s="11">
        <f>$B$16+($B$23-$B$16)*MIN(I29,$B$25)/$B$25</f>
        <v/>
      </c>
      <c r="J32" s="11">
        <f>$B$16+($B$23-$B$16)*MIN(J29,$B$25)/$B$25</f>
        <v/>
      </c>
      <c r="K32" s="11">
        <f>$B$16+($B$23-$B$16)*MIN(K29,$B$25)/$B$25</f>
        <v/>
      </c>
      <c r="L32" s="11">
        <f>$B$16+($B$23-$B$16)*MIN(L29,$B$25)/$B$25</f>
        <v/>
      </c>
    </row>
    <row r="33">
      <c r="A33" s="3" t="inlineStr">
        <is>
          <t>SBC-adjusted FCF ($bn)</t>
        </is>
      </c>
      <c r="C33" s="17">
        <f>C31*C32</f>
        <v/>
      </c>
      <c r="D33" s="17">
        <f>D31*D32</f>
        <v/>
      </c>
      <c r="E33" s="17">
        <f>E31*E32</f>
        <v/>
      </c>
      <c r="F33" s="17">
        <f>F31*F32</f>
        <v/>
      </c>
      <c r="G33" s="17">
        <f>G31*G32</f>
        <v/>
      </c>
      <c r="H33" s="17">
        <f>H31*H32</f>
        <v/>
      </c>
      <c r="I33" s="17">
        <f>I31*I32</f>
        <v/>
      </c>
      <c r="J33" s="17">
        <f>J31*J32</f>
        <v/>
      </c>
      <c r="K33" s="17">
        <f>K31*K32</f>
        <v/>
      </c>
      <c r="L33" s="17">
        <f>L31*L32</f>
        <v/>
      </c>
    </row>
    <row r="34">
      <c r="A34" s="3" t="inlineStr">
        <is>
          <t>Discount factor</t>
        </is>
      </c>
      <c r="C34" s="22">
        <f>1/(1+$B$13)^C29</f>
        <v/>
      </c>
      <c r="D34" s="22">
        <f>1/(1+$B$13)^D29</f>
        <v/>
      </c>
      <c r="E34" s="22">
        <f>1/(1+$B$13)^E29</f>
        <v/>
      </c>
      <c r="F34" s="22">
        <f>1/(1+$B$13)^F29</f>
        <v/>
      </c>
      <c r="G34" s="22">
        <f>1/(1+$B$13)^G29</f>
        <v/>
      </c>
      <c r="H34" s="22">
        <f>1/(1+$B$13)^H29</f>
        <v/>
      </c>
      <c r="I34" s="22">
        <f>1/(1+$B$13)^I29</f>
        <v/>
      </c>
      <c r="J34" s="22">
        <f>1/(1+$B$13)^J29</f>
        <v/>
      </c>
      <c r="K34" s="22">
        <f>1/(1+$B$13)^K29</f>
        <v/>
      </c>
      <c r="L34" s="22">
        <f>1/(1+$B$13)^L29</f>
        <v/>
      </c>
    </row>
    <row r="35">
      <c r="A35" s="3" t="inlineStr">
        <is>
          <t>Present value of FCF ($bn)</t>
        </is>
      </c>
      <c r="C35" s="17">
        <f>C33*C34</f>
        <v/>
      </c>
      <c r="D35" s="17">
        <f>D33*D34</f>
        <v/>
      </c>
      <c r="E35" s="17">
        <f>E33*E34</f>
        <v/>
      </c>
      <c r="F35" s="17">
        <f>F33*F34</f>
        <v/>
      </c>
      <c r="G35" s="17">
        <f>G33*G34</f>
        <v/>
      </c>
      <c r="H35" s="17">
        <f>H33*H34</f>
        <v/>
      </c>
      <c r="I35" s="17">
        <f>I33*I34</f>
        <v/>
      </c>
      <c r="J35" s="17">
        <f>J33*J34</f>
        <v/>
      </c>
      <c r="K35" s="17">
        <f>K33*K34</f>
        <v/>
      </c>
      <c r="L35" s="17">
        <f>L33*L34</f>
        <v/>
      </c>
    </row>
    <row r="37">
      <c r="A37" s="6" t="inlineStr">
        <is>
          <t>Base case</t>
        </is>
      </c>
      <c r="C37" s="5" t="inlineStr">
        <is>
          <t>Y1</t>
        </is>
      </c>
      <c r="D37" s="5" t="inlineStr">
        <is>
          <t>Y2</t>
        </is>
      </c>
      <c r="E37" s="5" t="inlineStr">
        <is>
          <t>Y3</t>
        </is>
      </c>
      <c r="F37" s="5" t="inlineStr">
        <is>
          <t>Y4</t>
        </is>
      </c>
      <c r="G37" s="5" t="inlineStr">
        <is>
          <t>Y5</t>
        </is>
      </c>
      <c r="H37" s="5" t="inlineStr">
        <is>
          <t>Y6</t>
        </is>
      </c>
      <c r="I37" s="5" t="inlineStr">
        <is>
          <t>Y7</t>
        </is>
      </c>
      <c r="J37" s="5" t="inlineStr">
        <is>
          <t>Y8</t>
        </is>
      </c>
      <c r="K37" s="5" t="inlineStr">
        <is>
          <t>Y9</t>
        </is>
      </c>
      <c r="L37" s="5" t="inlineStr">
        <is>
          <t>Y10</t>
        </is>
      </c>
    </row>
    <row r="38">
      <c r="A38" s="3" t="inlineStr">
        <is>
          <t>Year index</t>
        </is>
      </c>
      <c r="C38" s="21" t="n">
        <v>1</v>
      </c>
      <c r="D38" s="21" t="n">
        <v>2</v>
      </c>
      <c r="E38" s="21" t="n">
        <v>3</v>
      </c>
      <c r="F38" s="21" t="n">
        <v>4</v>
      </c>
      <c r="G38" s="21" t="n">
        <v>5</v>
      </c>
      <c r="H38" s="21" t="n">
        <v>6</v>
      </c>
      <c r="I38" s="21" t="n">
        <v>7</v>
      </c>
      <c r="J38" s="21" t="n">
        <v>8</v>
      </c>
      <c r="K38" s="21" t="n">
        <v>9</v>
      </c>
      <c r="L38" s="21" t="n">
        <v>10</v>
      </c>
    </row>
    <row r="39">
      <c r="A39" s="3" t="inlineStr">
        <is>
          <t>Revenue growth</t>
        </is>
      </c>
      <c r="C39" s="11">
        <f>$C$21+($C$22-$C$21)*(C38-1)/9</f>
        <v/>
      </c>
      <c r="D39" s="11">
        <f>$C$21+($C$22-$C$21)*(D38-1)/9</f>
        <v/>
      </c>
      <c r="E39" s="11">
        <f>$C$21+($C$22-$C$21)*(E38-1)/9</f>
        <v/>
      </c>
      <c r="F39" s="11">
        <f>$C$21+($C$22-$C$21)*(F38-1)/9</f>
        <v/>
      </c>
      <c r="G39" s="11">
        <f>$C$21+($C$22-$C$21)*(G38-1)/9</f>
        <v/>
      </c>
      <c r="H39" s="11">
        <f>$C$21+($C$22-$C$21)*(H38-1)/9</f>
        <v/>
      </c>
      <c r="I39" s="11">
        <f>$C$21+($C$22-$C$21)*(I38-1)/9</f>
        <v/>
      </c>
      <c r="J39" s="11">
        <f>$C$21+($C$22-$C$21)*(J38-1)/9</f>
        <v/>
      </c>
      <c r="K39" s="11">
        <f>$C$21+($C$22-$C$21)*(K38-1)/9</f>
        <v/>
      </c>
      <c r="L39" s="11">
        <f>$C$21+($C$22-$C$21)*(L38-1)/9</f>
        <v/>
      </c>
    </row>
    <row r="40">
      <c r="A40" s="3" t="inlineStr">
        <is>
          <t>Revenue ($bn)</t>
        </is>
      </c>
      <c r="C40" s="17">
        <f>$B$7*(1+C39)</f>
        <v/>
      </c>
      <c r="D40" s="17">
        <f>C40*(1+D39)</f>
        <v/>
      </c>
      <c r="E40" s="17">
        <f>D40*(1+E39)</f>
        <v/>
      </c>
      <c r="F40" s="17">
        <f>E40*(1+F39)</f>
        <v/>
      </c>
      <c r="G40" s="17">
        <f>F40*(1+G39)</f>
        <v/>
      </c>
      <c r="H40" s="17">
        <f>G40*(1+H39)</f>
        <v/>
      </c>
      <c r="I40" s="17">
        <f>H40*(1+I39)</f>
        <v/>
      </c>
      <c r="J40" s="17">
        <f>I40*(1+J39)</f>
        <v/>
      </c>
      <c r="K40" s="17">
        <f>J40*(1+K39)</f>
        <v/>
      </c>
      <c r="L40" s="17">
        <f>K40*(1+L39)</f>
        <v/>
      </c>
    </row>
    <row r="41">
      <c r="A41" s="3" t="inlineStr">
        <is>
          <t>SBC-adjusted FCF margin</t>
        </is>
      </c>
      <c r="C41" s="11">
        <f>$B$16+($C$23-$B$16)*MIN(C38,$B$25)/$B$25</f>
        <v/>
      </c>
      <c r="D41" s="11">
        <f>$B$16+($C$23-$B$16)*MIN(D38,$B$25)/$B$25</f>
        <v/>
      </c>
      <c r="E41" s="11">
        <f>$B$16+($C$23-$B$16)*MIN(E38,$B$25)/$B$25</f>
        <v/>
      </c>
      <c r="F41" s="11">
        <f>$B$16+($C$23-$B$16)*MIN(F38,$B$25)/$B$25</f>
        <v/>
      </c>
      <c r="G41" s="11">
        <f>$B$16+($C$23-$B$16)*MIN(G38,$B$25)/$B$25</f>
        <v/>
      </c>
      <c r="H41" s="11">
        <f>$B$16+($C$23-$B$16)*MIN(H38,$B$25)/$B$25</f>
        <v/>
      </c>
      <c r="I41" s="11">
        <f>$B$16+($C$23-$B$16)*MIN(I38,$B$25)/$B$25</f>
        <v/>
      </c>
      <c r="J41" s="11">
        <f>$B$16+($C$23-$B$16)*MIN(J38,$B$25)/$B$25</f>
        <v/>
      </c>
      <c r="K41" s="11">
        <f>$B$16+($C$23-$B$16)*MIN(K38,$B$25)/$B$25</f>
        <v/>
      </c>
      <c r="L41" s="11">
        <f>$B$16+($C$23-$B$16)*MIN(L38,$B$25)/$B$25</f>
        <v/>
      </c>
    </row>
    <row r="42">
      <c r="A42" s="3" t="inlineStr">
        <is>
          <t>SBC-adjusted FCF ($bn)</t>
        </is>
      </c>
      <c r="C42" s="17">
        <f>C40*C41</f>
        <v/>
      </c>
      <c r="D42" s="17">
        <f>D40*D41</f>
        <v/>
      </c>
      <c r="E42" s="17">
        <f>E40*E41</f>
        <v/>
      </c>
      <c r="F42" s="17">
        <f>F40*F41</f>
        <v/>
      </c>
      <c r="G42" s="17">
        <f>G40*G41</f>
        <v/>
      </c>
      <c r="H42" s="17">
        <f>H40*H41</f>
        <v/>
      </c>
      <c r="I42" s="17">
        <f>I40*I41</f>
        <v/>
      </c>
      <c r="J42" s="17">
        <f>J40*J41</f>
        <v/>
      </c>
      <c r="K42" s="17">
        <f>K40*K41</f>
        <v/>
      </c>
      <c r="L42" s="17">
        <f>L40*L41</f>
        <v/>
      </c>
    </row>
    <row r="43">
      <c r="A43" s="3" t="inlineStr">
        <is>
          <t>Discount factor</t>
        </is>
      </c>
      <c r="C43" s="22">
        <f>1/(1+$B$13)^C38</f>
        <v/>
      </c>
      <c r="D43" s="22">
        <f>1/(1+$B$13)^D38</f>
        <v/>
      </c>
      <c r="E43" s="22">
        <f>1/(1+$B$13)^E38</f>
        <v/>
      </c>
      <c r="F43" s="22">
        <f>1/(1+$B$13)^F38</f>
        <v/>
      </c>
      <c r="G43" s="22">
        <f>1/(1+$B$13)^G38</f>
        <v/>
      </c>
      <c r="H43" s="22">
        <f>1/(1+$B$13)^H38</f>
        <v/>
      </c>
      <c r="I43" s="22">
        <f>1/(1+$B$13)^I38</f>
        <v/>
      </c>
      <c r="J43" s="22">
        <f>1/(1+$B$13)^J38</f>
        <v/>
      </c>
      <c r="K43" s="22">
        <f>1/(1+$B$13)^K38</f>
        <v/>
      </c>
      <c r="L43" s="22">
        <f>1/(1+$B$13)^L38</f>
        <v/>
      </c>
    </row>
    <row r="44">
      <c r="A44" s="3" t="inlineStr">
        <is>
          <t>Present value of FCF ($bn)</t>
        </is>
      </c>
      <c r="C44" s="17">
        <f>C42*C43</f>
        <v/>
      </c>
      <c r="D44" s="17">
        <f>D42*D43</f>
        <v/>
      </c>
      <c r="E44" s="17">
        <f>E42*E43</f>
        <v/>
      </c>
      <c r="F44" s="17">
        <f>F42*F43</f>
        <v/>
      </c>
      <c r="G44" s="17">
        <f>G42*G43</f>
        <v/>
      </c>
      <c r="H44" s="17">
        <f>H42*H43</f>
        <v/>
      </c>
      <c r="I44" s="17">
        <f>I42*I43</f>
        <v/>
      </c>
      <c r="J44" s="17">
        <f>J42*J43</f>
        <v/>
      </c>
      <c r="K44" s="17">
        <f>K42*K43</f>
        <v/>
      </c>
      <c r="L44" s="17">
        <f>L42*L43</f>
        <v/>
      </c>
    </row>
    <row r="46">
      <c r="A46" s="6" t="inlineStr">
        <is>
          <t>Bull case</t>
        </is>
      </c>
      <c r="C46" s="5" t="inlineStr">
        <is>
          <t>Y1</t>
        </is>
      </c>
      <c r="D46" s="5" t="inlineStr">
        <is>
          <t>Y2</t>
        </is>
      </c>
      <c r="E46" s="5" t="inlineStr">
        <is>
          <t>Y3</t>
        </is>
      </c>
      <c r="F46" s="5" t="inlineStr">
        <is>
          <t>Y4</t>
        </is>
      </c>
      <c r="G46" s="5" t="inlineStr">
        <is>
          <t>Y5</t>
        </is>
      </c>
      <c r="H46" s="5" t="inlineStr">
        <is>
          <t>Y6</t>
        </is>
      </c>
      <c r="I46" s="5" t="inlineStr">
        <is>
          <t>Y7</t>
        </is>
      </c>
      <c r="J46" s="5" t="inlineStr">
        <is>
          <t>Y8</t>
        </is>
      </c>
      <c r="K46" s="5" t="inlineStr">
        <is>
          <t>Y9</t>
        </is>
      </c>
      <c r="L46" s="5" t="inlineStr">
        <is>
          <t>Y10</t>
        </is>
      </c>
    </row>
    <row r="47">
      <c r="A47" s="3" t="inlineStr">
        <is>
          <t>Year index</t>
        </is>
      </c>
      <c r="C47" s="21" t="n">
        <v>1</v>
      </c>
      <c r="D47" s="21" t="n">
        <v>2</v>
      </c>
      <c r="E47" s="21" t="n">
        <v>3</v>
      </c>
      <c r="F47" s="21" t="n">
        <v>4</v>
      </c>
      <c r="G47" s="21" t="n">
        <v>5</v>
      </c>
      <c r="H47" s="21" t="n">
        <v>6</v>
      </c>
      <c r="I47" s="21" t="n">
        <v>7</v>
      </c>
      <c r="J47" s="21" t="n">
        <v>8</v>
      </c>
      <c r="K47" s="21" t="n">
        <v>9</v>
      </c>
      <c r="L47" s="21" t="n">
        <v>10</v>
      </c>
    </row>
    <row r="48">
      <c r="A48" s="3" t="inlineStr">
        <is>
          <t>Revenue growth</t>
        </is>
      </c>
      <c r="C48" s="11">
        <f>$D$21+($D$22-$D$21)*(C47-1)/9</f>
        <v/>
      </c>
      <c r="D48" s="11">
        <f>$D$21+($D$22-$D$21)*(D47-1)/9</f>
        <v/>
      </c>
      <c r="E48" s="11">
        <f>$D$21+($D$22-$D$21)*(E47-1)/9</f>
        <v/>
      </c>
      <c r="F48" s="11">
        <f>$D$21+($D$22-$D$21)*(F47-1)/9</f>
        <v/>
      </c>
      <c r="G48" s="11">
        <f>$D$21+($D$22-$D$21)*(G47-1)/9</f>
        <v/>
      </c>
      <c r="H48" s="11">
        <f>$D$21+($D$22-$D$21)*(H47-1)/9</f>
        <v/>
      </c>
      <c r="I48" s="11">
        <f>$D$21+($D$22-$D$21)*(I47-1)/9</f>
        <v/>
      </c>
      <c r="J48" s="11">
        <f>$D$21+($D$22-$D$21)*(J47-1)/9</f>
        <v/>
      </c>
      <c r="K48" s="11">
        <f>$D$21+($D$22-$D$21)*(K47-1)/9</f>
        <v/>
      </c>
      <c r="L48" s="11">
        <f>$D$21+($D$22-$D$21)*(L47-1)/9</f>
        <v/>
      </c>
    </row>
    <row r="49">
      <c r="A49" s="3" t="inlineStr">
        <is>
          <t>Revenue ($bn)</t>
        </is>
      </c>
      <c r="C49" s="17">
        <f>$B$7*(1+C48)</f>
        <v/>
      </c>
      <c r="D49" s="17">
        <f>C49*(1+D48)</f>
        <v/>
      </c>
      <c r="E49" s="17">
        <f>D49*(1+E48)</f>
        <v/>
      </c>
      <c r="F49" s="17">
        <f>E49*(1+F48)</f>
        <v/>
      </c>
      <c r="G49" s="17">
        <f>F49*(1+G48)</f>
        <v/>
      </c>
      <c r="H49" s="17">
        <f>G49*(1+H48)</f>
        <v/>
      </c>
      <c r="I49" s="17">
        <f>H49*(1+I48)</f>
        <v/>
      </c>
      <c r="J49" s="17">
        <f>I49*(1+J48)</f>
        <v/>
      </c>
      <c r="K49" s="17">
        <f>J49*(1+K48)</f>
        <v/>
      </c>
      <c r="L49" s="17">
        <f>K49*(1+L48)</f>
        <v/>
      </c>
    </row>
    <row r="50">
      <c r="A50" s="3" t="inlineStr">
        <is>
          <t>SBC-adjusted FCF margin</t>
        </is>
      </c>
      <c r="C50" s="11">
        <f>$B$16+($D$23-$B$16)*MIN(C47,$B$25)/$B$25</f>
        <v/>
      </c>
      <c r="D50" s="11">
        <f>$B$16+($D$23-$B$16)*MIN(D47,$B$25)/$B$25</f>
        <v/>
      </c>
      <c r="E50" s="11">
        <f>$B$16+($D$23-$B$16)*MIN(E47,$B$25)/$B$25</f>
        <v/>
      </c>
      <c r="F50" s="11">
        <f>$B$16+($D$23-$B$16)*MIN(F47,$B$25)/$B$25</f>
        <v/>
      </c>
      <c r="G50" s="11">
        <f>$B$16+($D$23-$B$16)*MIN(G47,$B$25)/$B$25</f>
        <v/>
      </c>
      <c r="H50" s="11">
        <f>$B$16+($D$23-$B$16)*MIN(H47,$B$25)/$B$25</f>
        <v/>
      </c>
      <c r="I50" s="11">
        <f>$B$16+($D$23-$B$16)*MIN(I47,$B$25)/$B$25</f>
        <v/>
      </c>
      <c r="J50" s="11">
        <f>$B$16+($D$23-$B$16)*MIN(J47,$B$25)/$B$25</f>
        <v/>
      </c>
      <c r="K50" s="11">
        <f>$B$16+($D$23-$B$16)*MIN(K47,$B$25)/$B$25</f>
        <v/>
      </c>
      <c r="L50" s="11">
        <f>$B$16+($D$23-$B$16)*MIN(L47,$B$25)/$B$25</f>
        <v/>
      </c>
    </row>
    <row r="51">
      <c r="A51" s="3" t="inlineStr">
        <is>
          <t>SBC-adjusted FCF ($bn)</t>
        </is>
      </c>
      <c r="C51" s="17">
        <f>C49*C50</f>
        <v/>
      </c>
      <c r="D51" s="17">
        <f>D49*D50</f>
        <v/>
      </c>
      <c r="E51" s="17">
        <f>E49*E50</f>
        <v/>
      </c>
      <c r="F51" s="17">
        <f>F49*F50</f>
        <v/>
      </c>
      <c r="G51" s="17">
        <f>G49*G50</f>
        <v/>
      </c>
      <c r="H51" s="17">
        <f>H49*H50</f>
        <v/>
      </c>
      <c r="I51" s="17">
        <f>I49*I50</f>
        <v/>
      </c>
      <c r="J51" s="17">
        <f>J49*J50</f>
        <v/>
      </c>
      <c r="K51" s="17">
        <f>K49*K50</f>
        <v/>
      </c>
      <c r="L51" s="17">
        <f>L49*L50</f>
        <v/>
      </c>
    </row>
    <row r="52">
      <c r="A52" s="3" t="inlineStr">
        <is>
          <t>Discount factor</t>
        </is>
      </c>
      <c r="C52" s="22">
        <f>1/(1+$B$13)^C47</f>
        <v/>
      </c>
      <c r="D52" s="22">
        <f>1/(1+$B$13)^D47</f>
        <v/>
      </c>
      <c r="E52" s="22">
        <f>1/(1+$B$13)^E47</f>
        <v/>
      </c>
      <c r="F52" s="22">
        <f>1/(1+$B$13)^F47</f>
        <v/>
      </c>
      <c r="G52" s="22">
        <f>1/(1+$B$13)^G47</f>
        <v/>
      </c>
      <c r="H52" s="22">
        <f>1/(1+$B$13)^H47</f>
        <v/>
      </c>
      <c r="I52" s="22">
        <f>1/(1+$B$13)^I47</f>
        <v/>
      </c>
      <c r="J52" s="22">
        <f>1/(1+$B$13)^J47</f>
        <v/>
      </c>
      <c r="K52" s="22">
        <f>1/(1+$B$13)^K47</f>
        <v/>
      </c>
      <c r="L52" s="22">
        <f>1/(1+$B$13)^L47</f>
        <v/>
      </c>
    </row>
    <row r="53">
      <c r="A53" s="3" t="inlineStr">
        <is>
          <t>Present value of FCF ($bn)</t>
        </is>
      </c>
      <c r="C53" s="17">
        <f>C51*C52</f>
        <v/>
      </c>
      <c r="D53" s="17">
        <f>D51*D52</f>
        <v/>
      </c>
      <c r="E53" s="17">
        <f>E51*E52</f>
        <v/>
      </c>
      <c r="F53" s="17">
        <f>F51*F52</f>
        <v/>
      </c>
      <c r="G53" s="17">
        <f>G51*G52</f>
        <v/>
      </c>
      <c r="H53" s="17">
        <f>H51*H52</f>
        <v/>
      </c>
      <c r="I53" s="17">
        <f>I51*I52</f>
        <v/>
      </c>
      <c r="J53" s="17">
        <f>J51*J52</f>
        <v/>
      </c>
      <c r="K53" s="17">
        <f>K51*K52</f>
        <v/>
      </c>
      <c r="L53" s="17">
        <f>L51*L52</f>
        <v/>
      </c>
    </row>
    <row r="56">
      <c r="A56" s="12" t="inlineStr">
        <is>
          <t>4. Valuation</t>
        </is>
      </c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</row>
    <row r="57">
      <c r="B57" s="5" t="inlineStr">
        <is>
          <t>Bear</t>
        </is>
      </c>
      <c r="C57" s="5" t="inlineStr">
        <is>
          <t>Base</t>
        </is>
      </c>
      <c r="D57" s="5" t="inlineStr">
        <is>
          <t>Bull</t>
        </is>
      </c>
    </row>
    <row r="58">
      <c r="A58" s="3" t="inlineStr">
        <is>
          <t>PV of years 1 to 10 FCF ($bn)</t>
        </is>
      </c>
      <c r="B58" s="17">
        <f>SUM(C35:L35)</f>
        <v/>
      </c>
      <c r="C58" s="17">
        <f>SUM(C44:L44)</f>
        <v/>
      </c>
      <c r="D58" s="17">
        <f>SUM(C53:L53)</f>
        <v/>
      </c>
    </row>
    <row r="59">
      <c r="A59" s="3" t="inlineStr">
        <is>
          <t>Terminal value at year 10 ($bn)</t>
        </is>
      </c>
      <c r="B59" s="17">
        <f>L33*(1+$B$14)/($B$13-$B$14)</f>
        <v/>
      </c>
      <c r="C59" s="17">
        <f>L42*(1+$B$14)/($B$13-$B$14)</f>
        <v/>
      </c>
      <c r="D59" s="17">
        <f>L51*(1+$B$14)/($B$13-$B$14)</f>
        <v/>
      </c>
    </row>
    <row r="60">
      <c r="A60" s="3" t="inlineStr">
        <is>
          <t>PV of terminal value ($bn)</t>
        </is>
      </c>
      <c r="B60" s="17">
        <f>B59*L34</f>
        <v/>
      </c>
      <c r="C60" s="17">
        <f>C59*L43</f>
        <v/>
      </c>
      <c r="D60" s="17">
        <f>D59*L52</f>
        <v/>
      </c>
    </row>
    <row r="61">
      <c r="A61" s="3" t="inlineStr">
        <is>
          <t>Enterprise value ($bn)</t>
        </is>
      </c>
      <c r="B61" s="17">
        <f>B58+B60</f>
        <v/>
      </c>
      <c r="C61" s="17">
        <f>C58+C60</f>
        <v/>
      </c>
      <c r="D61" s="17">
        <f>D58+D60</f>
        <v/>
      </c>
    </row>
    <row r="62">
      <c r="A62" s="3" t="inlineStr">
        <is>
          <t>Equity value incl. adjusted net cash ($bn)</t>
        </is>
      </c>
      <c r="B62" s="17">
        <f>B61+$B$17</f>
        <v/>
      </c>
      <c r="C62" s="17">
        <f>C61+$B$17</f>
        <v/>
      </c>
      <c r="D62" s="17">
        <f>D61+$B$17</f>
        <v/>
      </c>
    </row>
    <row r="63">
      <c r="A63" s="3" t="inlineStr">
        <is>
          <t>Value per share (US$)</t>
        </is>
      </c>
      <c r="B63" s="23">
        <f>B62/$B$6</f>
        <v/>
      </c>
      <c r="C63" s="23">
        <f>C62/$B$6</f>
        <v/>
      </c>
      <c r="D63" s="23">
        <f>D62/$B$6</f>
        <v/>
      </c>
    </row>
    <row r="64">
      <c r="A64" s="3" t="inlineStr">
        <is>
          <t>Terminal value as share of EV</t>
        </is>
      </c>
      <c r="B64" s="11">
        <f>B60/B61</f>
        <v/>
      </c>
      <c r="C64" s="11">
        <f>C60/C61</f>
        <v/>
      </c>
      <c r="D64" s="11">
        <f>D60/D61</f>
        <v/>
      </c>
    </row>
    <row r="66">
      <c r="A66" s="6" t="inlineStr">
        <is>
          <t>Probability-weighted fair value (US$)</t>
        </is>
      </c>
      <c r="B66" s="23">
        <f>SUMPRODUCT(B63:D63,B24:D24)</f>
        <v/>
      </c>
    </row>
    <row r="67">
      <c r="A67" s="3" t="inlineStr">
        <is>
          <t>Buy-below price after margin of safety (US$)</t>
        </is>
      </c>
      <c r="B67" s="24">
        <f>B66*(1-B15)</f>
        <v/>
      </c>
    </row>
    <row r="68">
      <c r="A68" s="3" t="inlineStr">
        <is>
          <t>Current price (US$)</t>
        </is>
      </c>
      <c r="B68" s="24">
        <f>B5</f>
        <v/>
      </c>
    </row>
    <row r="69">
      <c r="A69" s="3" t="inlineStr">
        <is>
          <t>Price vs fair value (positive = price above value)</t>
        </is>
      </c>
      <c r="B69" s="11">
        <f>B68/B66-1</f>
        <v/>
      </c>
    </row>
    <row r="70">
      <c r="A70" s="6" t="inlineStr">
        <is>
          <t>Status</t>
        </is>
      </c>
      <c r="B70" s="6">
        <f>IF(B68&lt;=B67,"Attractive",IF(B68&lt;=B66*(1-B15/2),"Potentially interesting",IF(B68&lt;=B66,"Little margin of safety","Above estimated value")))</f>
        <v/>
      </c>
    </row>
    <row r="71">
      <c r="A71" s="3" t="inlineStr">
        <is>
          <t>No-growth value per share (earnings power value, US$)</t>
        </is>
      </c>
      <c r="B71" s="24">
        <f>(B7*C23/B13+B17)/B6</f>
        <v/>
      </c>
    </row>
    <row r="72">
      <c r="A72" s="3" t="inlineStr">
        <is>
          <t>Implied annual return at today's price (base case)</t>
        </is>
      </c>
      <c r="B72" s="25">
        <f>IFERROR(INDEX($C$84:$L$84,MATCH($B$5,$C$85:$L$85,-1))+(INDEX($C$85:$L$85,MATCH($B$5,$C$85:$L$85,-1))-$B$5)/(INDEX($C$85:$L$85,MATCH($B$5,$C$85:$L$85,-1))-INDEX($C$85:$L$85,MATCH($B$5,$C$85:$L$85,-1)+1))*($D$84-$C$84),"outside grid")</f>
        <v/>
      </c>
      <c r="C72" s="2" t="inlineStr">
        <is>
          <t>Interpolated from the helper table in section 6 (accurate to about 0.1 point).</t>
        </is>
      </c>
    </row>
    <row r="73">
      <c r="A73" s="3" t="inlineStr">
        <is>
          <t>Year-1 revenue growth needed to justify price (goal-seek result)</t>
        </is>
      </c>
      <c r="B73" s="4" t="n">
        <v>0.3445554971694946</v>
      </c>
      <c r="C73" s="2" t="inlineStr">
        <is>
          <t>Solved with a goal-seek in the model script (base margin, growth fading to base year-10 rate). Re-run if inputs change.</t>
        </is>
      </c>
    </row>
    <row r="75">
      <c r="A75" s="12" t="inlineStr">
        <is>
          <t>5. Sensitivity: base-case value per share (US$) by required return and terminal growth</t>
        </is>
      </c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</row>
    <row r="76">
      <c r="A76" s="6" t="inlineStr">
        <is>
          <t>Required return (down) / terminal growth (across)</t>
        </is>
      </c>
      <c r="C76" s="25">
        <f>$B$14+(-0.01)</f>
        <v/>
      </c>
      <c r="D76" s="25">
        <f>$B$14+(-0.005)</f>
        <v/>
      </c>
      <c r="E76" s="25">
        <f>$B$14+(0)</f>
        <v/>
      </c>
      <c r="F76" s="25">
        <f>$B$14+(0.005)</f>
        <v/>
      </c>
      <c r="G76" s="25">
        <f>$B$14+(0.01)</f>
        <v/>
      </c>
    </row>
    <row r="77">
      <c r="B77" s="25">
        <f>$B$13+(-0.02)</f>
        <v/>
      </c>
      <c r="C77" s="24">
        <f>(SUMPRODUCT($C$42:$L$42/(1+$B77)^$C$38:$L$38)+$L$42*(1+C$76)/($B77-C$76)/(1+$B77)^$L$38+$B$17)/$B$6</f>
        <v/>
      </c>
      <c r="D77" s="24">
        <f>(SUMPRODUCT($C$42:$L$42/(1+$B77)^$C$38:$L$38)+$L$42*(1+D$76)/($B77-D$76)/(1+$B77)^$L$38+$B$17)/$B$6</f>
        <v/>
      </c>
      <c r="E77" s="24">
        <f>(SUMPRODUCT($C$42:$L$42/(1+$B77)^$C$38:$L$38)+$L$42*(1+E$76)/($B77-E$76)/(1+$B77)^$L$38+$B$17)/$B$6</f>
        <v/>
      </c>
      <c r="F77" s="24">
        <f>(SUMPRODUCT($C$42:$L$42/(1+$B77)^$C$38:$L$38)+$L$42*(1+F$76)/($B77-F$76)/(1+$B77)^$L$38+$B$17)/$B$6</f>
        <v/>
      </c>
      <c r="G77" s="24">
        <f>(SUMPRODUCT($C$42:$L$42/(1+$B77)^$C$38:$L$38)+$L$42*(1+G$76)/($B77-G$76)/(1+$B77)^$L$38+$B$17)/$B$6</f>
        <v/>
      </c>
    </row>
    <row r="78">
      <c r="B78" s="25">
        <f>$B$13+(-0.01)</f>
        <v/>
      </c>
      <c r="C78" s="24">
        <f>(SUMPRODUCT($C$42:$L$42/(1+$B78)^$C$38:$L$38)+$L$42*(1+C$76)/($B78-C$76)/(1+$B78)^$L$38+$B$17)/$B$6</f>
        <v/>
      </c>
      <c r="D78" s="24">
        <f>(SUMPRODUCT($C$42:$L$42/(1+$B78)^$C$38:$L$38)+$L$42*(1+D$76)/($B78-D$76)/(1+$B78)^$L$38+$B$17)/$B$6</f>
        <v/>
      </c>
      <c r="E78" s="24">
        <f>(SUMPRODUCT($C$42:$L$42/(1+$B78)^$C$38:$L$38)+$L$42*(1+E$76)/($B78-E$76)/(1+$B78)^$L$38+$B$17)/$B$6</f>
        <v/>
      </c>
      <c r="F78" s="24">
        <f>(SUMPRODUCT($C$42:$L$42/(1+$B78)^$C$38:$L$38)+$L$42*(1+F$76)/($B78-F$76)/(1+$B78)^$L$38+$B$17)/$B$6</f>
        <v/>
      </c>
      <c r="G78" s="24">
        <f>(SUMPRODUCT($C$42:$L$42/(1+$B78)^$C$38:$L$38)+$L$42*(1+G$76)/($B78-G$76)/(1+$B78)^$L$38+$B$17)/$B$6</f>
        <v/>
      </c>
    </row>
    <row r="79">
      <c r="B79" s="25">
        <f>$B$13+(0)</f>
        <v/>
      </c>
      <c r="C79" s="24">
        <f>(SUMPRODUCT($C$42:$L$42/(1+$B79)^$C$38:$L$38)+$L$42*(1+C$76)/($B79-C$76)/(1+$B79)^$L$38+$B$17)/$B$6</f>
        <v/>
      </c>
      <c r="D79" s="24">
        <f>(SUMPRODUCT($C$42:$L$42/(1+$B79)^$C$38:$L$38)+$L$42*(1+D$76)/($B79-D$76)/(1+$B79)^$L$38+$B$17)/$B$6</f>
        <v/>
      </c>
      <c r="E79" s="26">
        <f>(SUMPRODUCT($C$42:$L$42/(1+$B79)^$C$38:$L$38)+$L$42*(1+E$76)/($B79-E$76)/(1+$B79)^$L$38+$B$17)/$B$6</f>
        <v/>
      </c>
      <c r="F79" s="24">
        <f>(SUMPRODUCT($C$42:$L$42/(1+$B79)^$C$38:$L$38)+$L$42*(1+F$76)/($B79-F$76)/(1+$B79)^$L$38+$B$17)/$B$6</f>
        <v/>
      </c>
      <c r="G79" s="24">
        <f>(SUMPRODUCT($C$42:$L$42/(1+$B79)^$C$38:$L$38)+$L$42*(1+G$76)/($B79-G$76)/(1+$B79)^$L$38+$B$17)/$B$6</f>
        <v/>
      </c>
    </row>
    <row r="80">
      <c r="B80" s="25">
        <f>$B$13+(0.01)</f>
        <v/>
      </c>
      <c r="C80" s="24">
        <f>(SUMPRODUCT($C$42:$L$42/(1+$B80)^$C$38:$L$38)+$L$42*(1+C$76)/($B80-C$76)/(1+$B80)^$L$38+$B$17)/$B$6</f>
        <v/>
      </c>
      <c r="D80" s="24">
        <f>(SUMPRODUCT($C$42:$L$42/(1+$B80)^$C$38:$L$38)+$L$42*(1+D$76)/($B80-D$76)/(1+$B80)^$L$38+$B$17)/$B$6</f>
        <v/>
      </c>
      <c r="E80" s="24">
        <f>(SUMPRODUCT($C$42:$L$42/(1+$B80)^$C$38:$L$38)+$L$42*(1+E$76)/($B80-E$76)/(1+$B80)^$L$38+$B$17)/$B$6</f>
        <v/>
      </c>
      <c r="F80" s="24">
        <f>(SUMPRODUCT($C$42:$L$42/(1+$B80)^$C$38:$L$38)+$L$42*(1+F$76)/($B80-F$76)/(1+$B80)^$L$38+$B$17)/$B$6</f>
        <v/>
      </c>
      <c r="G80" s="24">
        <f>(SUMPRODUCT($C$42:$L$42/(1+$B80)^$C$38:$L$38)+$L$42*(1+G$76)/($B80-G$76)/(1+$B80)^$L$38+$B$17)/$B$6</f>
        <v/>
      </c>
    </row>
    <row r="81">
      <c r="B81" s="25">
        <f>$B$13+(0.02)</f>
        <v/>
      </c>
      <c r="C81" s="24">
        <f>(SUMPRODUCT($C$42:$L$42/(1+$B81)^$C$38:$L$38)+$L$42*(1+C$76)/($B81-C$76)/(1+$B81)^$L$38+$B$17)/$B$6</f>
        <v/>
      </c>
      <c r="D81" s="24">
        <f>(SUMPRODUCT($C$42:$L$42/(1+$B81)^$C$38:$L$38)+$L$42*(1+D$76)/($B81-D$76)/(1+$B81)^$L$38+$B$17)/$B$6</f>
        <v/>
      </c>
      <c r="E81" s="24">
        <f>(SUMPRODUCT($C$42:$L$42/(1+$B81)^$C$38:$L$38)+$L$42*(1+E$76)/($B81-E$76)/(1+$B81)^$L$38+$B$17)/$B$6</f>
        <v/>
      </c>
      <c r="F81" s="24">
        <f>(SUMPRODUCT($C$42:$L$42/(1+$B81)^$C$38:$L$38)+$L$42*(1+F$76)/($B81-F$76)/(1+$B81)^$L$38+$B$17)/$B$6</f>
        <v/>
      </c>
      <c r="G81" s="24">
        <f>(SUMPRODUCT($C$42:$L$42/(1+$B81)^$C$38:$L$38)+$L$42*(1+G$76)/($B81-G$76)/(1+$B81)^$L$38+$B$17)/$B$6</f>
        <v/>
      </c>
    </row>
    <row r="83">
      <c r="A83" s="12" t="inlineStr">
        <is>
          <t>6. Helper: base-case value at different required returns (used for the implied return above)</t>
        </is>
      </c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</row>
    <row r="84">
      <c r="A84" s="3" t="inlineStr">
        <is>
          <t>Required return</t>
        </is>
      </c>
      <c r="C84" s="4" t="n">
        <v>0.035</v>
      </c>
      <c r="D84" s="11">
        <f>C84+0.01</f>
        <v/>
      </c>
      <c r="E84" s="11">
        <f>D84+0.01</f>
        <v/>
      </c>
      <c r="F84" s="11">
        <f>E84+0.01</f>
        <v/>
      </c>
      <c r="G84" s="11">
        <f>F84+0.01</f>
        <v/>
      </c>
      <c r="H84" s="11">
        <f>G84+0.01</f>
        <v/>
      </c>
      <c r="I84" s="11">
        <f>H84+0.01</f>
        <v/>
      </c>
      <c r="J84" s="11">
        <f>I84+0.01</f>
        <v/>
      </c>
      <c r="K84" s="11">
        <f>J84+0.01</f>
        <v/>
      </c>
      <c r="L84" s="11">
        <f>K84+0.01</f>
        <v/>
      </c>
    </row>
    <row r="85">
      <c r="A85" s="3" t="inlineStr">
        <is>
          <t>Base-case value per share (US$)</t>
        </is>
      </c>
      <c r="C85" s="24">
        <f>(SUMPRODUCT($C$42:$L$42/(1+C84)^$C$38:$L$38)+$L$42*(1+$B$14)/(C84-$B$14)/(1+C84)^$L$38+$B$17)/$B$6</f>
        <v/>
      </c>
      <c r="D85" s="24">
        <f>(SUMPRODUCT($C$42:$L$42/(1+D84)^$C$38:$L$38)+$L$42*(1+$B$14)/(D84-$B$14)/(1+D84)^$L$38+$B$17)/$B$6</f>
        <v/>
      </c>
      <c r="E85" s="24">
        <f>(SUMPRODUCT($C$42:$L$42/(1+E84)^$C$38:$L$38)+$L$42*(1+$B$14)/(E84-$B$14)/(1+E84)^$L$38+$B$17)/$B$6</f>
        <v/>
      </c>
      <c r="F85" s="24">
        <f>(SUMPRODUCT($C$42:$L$42/(1+F84)^$C$38:$L$38)+$L$42*(1+$B$14)/(F84-$B$14)/(1+F84)^$L$38+$B$17)/$B$6</f>
        <v/>
      </c>
      <c r="G85" s="24">
        <f>(SUMPRODUCT($C$42:$L$42/(1+G84)^$C$38:$L$38)+$L$42*(1+$B$14)/(G84-$B$14)/(1+G84)^$L$38+$B$17)/$B$6</f>
        <v/>
      </c>
      <c r="H85" s="24">
        <f>(SUMPRODUCT($C$42:$L$42/(1+H84)^$C$38:$L$38)+$L$42*(1+$B$14)/(H84-$B$14)/(1+H84)^$L$38+$B$17)/$B$6</f>
        <v/>
      </c>
      <c r="I85" s="24">
        <f>(SUMPRODUCT($C$42:$L$42/(1+I84)^$C$38:$L$38)+$L$42*(1+$B$14)/(I84-$B$14)/(1+I84)^$L$38+$B$17)/$B$6</f>
        <v/>
      </c>
      <c r="J85" s="24">
        <f>(SUMPRODUCT($C$42:$L$42/(1+J84)^$C$38:$L$38)+$L$42*(1+$B$14)/(J84-$B$14)/(1+J84)^$L$38+$B$17)/$B$6</f>
        <v/>
      </c>
      <c r="K85" s="24">
        <f>(SUMPRODUCT($C$42:$L$42/(1+K84)^$C$38:$L$38)+$L$42*(1+$B$14)/(K84-$B$14)/(1+K84)^$L$38+$B$17)/$B$6</f>
        <v/>
      </c>
      <c r="L85" s="24">
        <f>(SUMPRODUCT($C$42:$L$42/(1+L84)^$C$38:$L$38)+$L$42*(1+$B$14)/(L84-$B$14)/(1+L84)^$L$38+$B$17)/$B$6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QQQ: Invesco QQQ Trust (Nasdaq-100)</t>
        </is>
      </c>
    </row>
    <row r="2">
      <c r="A2" s="2" t="inlineStr">
        <is>
          <t>Blue = input you can change. Black = formula. Green = link to another tab. US$ billions unless stated; per-share values in US$. Earnings-based look-through model; lower confidence than the single-stock tabs.</t>
        </is>
      </c>
    </row>
    <row r="4">
      <c r="A4" s="12" t="inlineStr">
        <is>
          <t>1. Inputs</t>
        </is>
      </c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</row>
    <row r="5">
      <c r="A5" s="3" t="inlineStr">
        <is>
          <t>Share price (US$)</t>
        </is>
      </c>
      <c r="B5" s="14" t="n">
        <v>728.95</v>
      </c>
      <c r="C5" s="2" t="inlineStr">
        <is>
          <t>Close 14 Oct 2026, Yahoo Finance / StockAnalysis.com</t>
        </is>
      </c>
    </row>
    <row r="6">
      <c r="A6" s="3" t="inlineStr">
        <is>
          <t>Trailing P/E</t>
        </is>
      </c>
      <c r="B6" s="27" t="n">
        <v>27.91</v>
      </c>
      <c r="C6" s="2" t="inlineStr">
        <is>
          <t>Yahoo Finance, 14 Oct 2026: 27.91 (GAAP; inflated by unrealised investment gains)</t>
        </is>
      </c>
    </row>
    <row r="7">
      <c r="A7" s="3" t="inlineStr">
        <is>
          <t>Forward P/E (reference)</t>
        </is>
      </c>
      <c r="B7" s="28" t="n">
        <v>21.5</v>
      </c>
      <c r="C7" s="2" t="inlineStr">
        <is>
          <t>Trefis, Aug 2026: roughly 21.5 to 22 times 12-month forward earnings. Not refreshed.</t>
        </is>
      </c>
    </row>
    <row r="8">
      <c r="A8" s="3" t="inlineStr">
        <is>
          <t>Required annual return</t>
        </is>
      </c>
      <c r="B8" s="4" t="n">
        <v>0.095</v>
      </c>
      <c r="C8" s="2" t="inlineStr">
        <is>
          <t>10-yr Treasury ~5.2% plus a 4.3 point equity premium</t>
        </is>
      </c>
    </row>
    <row r="9">
      <c r="A9" s="3" t="inlineStr">
        <is>
          <t>Terminal growth rate</t>
        </is>
      </c>
      <c r="B9" s="4" t="n">
        <v>0.025</v>
      </c>
      <c r="C9" s="2" t="inlineStr">
        <is>
          <t>Below long-run nominal GDP growth</t>
        </is>
      </c>
    </row>
    <row r="10">
      <c r="A10" s="3" t="inlineStr">
        <is>
          <t>Margin of safety</t>
        </is>
      </c>
      <c r="B10" s="4" t="n">
        <v>0.3</v>
      </c>
      <c r="C10" s="2" t="inlineStr">
        <is>
          <t>Wider because the earnings inputs are less certain</t>
        </is>
      </c>
    </row>
    <row r="11">
      <c r="A11" s="3" t="inlineStr">
        <is>
          <t>Trailing earnings per share (US$)</t>
        </is>
      </c>
      <c r="B11" s="24">
        <f>B5/B6</f>
        <v/>
      </c>
    </row>
    <row r="12">
      <c r="A12" s="3" t="inlineStr">
        <is>
          <t>Forward earnings per share (US$)</t>
        </is>
      </c>
      <c r="B12" s="24">
        <f>B5/B7</f>
        <v/>
      </c>
    </row>
    <row r="14">
      <c r="A14" s="12" t="inlineStr">
        <is>
          <t>2. Scenario assumptions</t>
        </is>
      </c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</row>
    <row r="15">
      <c r="B15" s="5" t="inlineStr">
        <is>
          <t>Bear</t>
        </is>
      </c>
      <c r="C15" s="5" t="inlineStr">
        <is>
          <t>Base</t>
        </is>
      </c>
      <c r="D15" s="5" t="inlineStr">
        <is>
          <t>Bull</t>
        </is>
      </c>
    </row>
    <row r="16">
      <c r="A16" s="3" t="inlineStr">
        <is>
          <t>Starting earnings per share (US$)</t>
        </is>
      </c>
      <c r="B16" s="24">
        <f>B11</f>
        <v/>
      </c>
      <c r="C16" s="24">
        <f>AVERAGE(B16,D16)</f>
        <v/>
      </c>
      <c r="D16" s="24">
        <f>B12</f>
        <v/>
      </c>
    </row>
    <row r="17">
      <c r="A17" s="3" t="inlineStr">
        <is>
          <t>Earnings growth, year 1</t>
        </is>
      </c>
      <c r="B17" s="4" t="n">
        <v>0.08</v>
      </c>
      <c r="C17" s="4" t="n">
        <v>0.12</v>
      </c>
      <c r="D17" s="4" t="n">
        <v>0.14</v>
      </c>
    </row>
    <row r="18">
      <c r="A18" s="3" t="inlineStr">
        <is>
          <t>Earnings growth, year 10</t>
        </is>
      </c>
      <c r="B18" s="4" t="n">
        <v>0.035</v>
      </c>
      <c r="C18" s="4" t="n">
        <v>0.05</v>
      </c>
      <c r="D18" s="4" t="n">
        <v>0.06</v>
      </c>
    </row>
    <row r="19">
      <c r="A19" s="3" t="inlineStr">
        <is>
          <t>Cash conversion (FCF after SBC / earnings)</t>
        </is>
      </c>
      <c r="B19" s="4" t="n">
        <v>0.7</v>
      </c>
      <c r="C19" s="4" t="n">
        <v>0.8</v>
      </c>
      <c r="D19" s="4" t="n">
        <v>0.85</v>
      </c>
    </row>
    <row r="20">
      <c r="A20" s="3" t="inlineStr">
        <is>
          <t>Probability</t>
        </is>
      </c>
      <c r="B20" s="18" t="n">
        <v>0.3</v>
      </c>
      <c r="C20" s="18" t="n">
        <v>0.5</v>
      </c>
      <c r="D20" s="18" t="n">
        <v>0.2</v>
      </c>
    </row>
    <row r="22">
      <c r="A22" s="12" t="inlineStr">
        <is>
          <t>3. Ten-year projection per index share</t>
        </is>
      </c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</row>
    <row r="23">
      <c r="A23" s="6" t="inlineStr">
        <is>
          <t>Bear case</t>
        </is>
      </c>
      <c r="C23" s="5" t="inlineStr">
        <is>
          <t>Y1</t>
        </is>
      </c>
      <c r="D23" s="5" t="inlineStr">
        <is>
          <t>Y2</t>
        </is>
      </c>
      <c r="E23" s="5" t="inlineStr">
        <is>
          <t>Y3</t>
        </is>
      </c>
      <c r="F23" s="5" t="inlineStr">
        <is>
          <t>Y4</t>
        </is>
      </c>
      <c r="G23" s="5" t="inlineStr">
        <is>
          <t>Y5</t>
        </is>
      </c>
      <c r="H23" s="5" t="inlineStr">
        <is>
          <t>Y6</t>
        </is>
      </c>
      <c r="I23" s="5" t="inlineStr">
        <is>
          <t>Y7</t>
        </is>
      </c>
      <c r="J23" s="5" t="inlineStr">
        <is>
          <t>Y8</t>
        </is>
      </c>
      <c r="K23" s="5" t="inlineStr">
        <is>
          <t>Y9</t>
        </is>
      </c>
      <c r="L23" s="5" t="inlineStr">
        <is>
          <t>Y10</t>
        </is>
      </c>
    </row>
    <row r="24">
      <c r="A24" s="3" t="inlineStr">
        <is>
          <t>Year index</t>
        </is>
      </c>
      <c r="C24" s="21" t="n">
        <v>1</v>
      </c>
      <c r="D24" s="21" t="n">
        <v>2</v>
      </c>
      <c r="E24" s="21" t="n">
        <v>3</v>
      </c>
      <c r="F24" s="21" t="n">
        <v>4</v>
      </c>
      <c r="G24" s="21" t="n">
        <v>5</v>
      </c>
      <c r="H24" s="21" t="n">
        <v>6</v>
      </c>
      <c r="I24" s="21" t="n">
        <v>7</v>
      </c>
      <c r="J24" s="21" t="n">
        <v>8</v>
      </c>
      <c r="K24" s="21" t="n">
        <v>9</v>
      </c>
      <c r="L24" s="21" t="n">
        <v>10</v>
      </c>
    </row>
    <row r="25">
      <c r="A25" s="3" t="inlineStr">
        <is>
          <t>Earnings growth</t>
        </is>
      </c>
      <c r="C25" s="11">
        <f>$B$17+($B$18-$B$17)*(C24-1)/9</f>
        <v/>
      </c>
      <c r="D25" s="11">
        <f>$B$17+($B$18-$B$17)*(D24-1)/9</f>
        <v/>
      </c>
      <c r="E25" s="11">
        <f>$B$17+($B$18-$B$17)*(E24-1)/9</f>
        <v/>
      </c>
      <c r="F25" s="11">
        <f>$B$17+($B$18-$B$17)*(F24-1)/9</f>
        <v/>
      </c>
      <c r="G25" s="11">
        <f>$B$17+($B$18-$B$17)*(G24-1)/9</f>
        <v/>
      </c>
      <c r="H25" s="11">
        <f>$B$17+($B$18-$B$17)*(H24-1)/9</f>
        <v/>
      </c>
      <c r="I25" s="11">
        <f>$B$17+($B$18-$B$17)*(I24-1)/9</f>
        <v/>
      </c>
      <c r="J25" s="11">
        <f>$B$17+($B$18-$B$17)*(J24-1)/9</f>
        <v/>
      </c>
      <c r="K25" s="11">
        <f>$B$17+($B$18-$B$17)*(K24-1)/9</f>
        <v/>
      </c>
      <c r="L25" s="11">
        <f>$B$17+($B$18-$B$17)*(L24-1)/9</f>
        <v/>
      </c>
    </row>
    <row r="26">
      <c r="A26" s="3" t="inlineStr">
        <is>
          <t>Earnings per share (US$)</t>
        </is>
      </c>
      <c r="C26" s="24">
        <f>$B$16*(1+C25)</f>
        <v/>
      </c>
      <c r="D26" s="24">
        <f>C26*(1+D25)</f>
        <v/>
      </c>
      <c r="E26" s="24">
        <f>D26*(1+E25)</f>
        <v/>
      </c>
      <c r="F26" s="24">
        <f>E26*(1+F25)</f>
        <v/>
      </c>
      <c r="G26" s="24">
        <f>F26*(1+G25)</f>
        <v/>
      </c>
      <c r="H26" s="24">
        <f>G26*(1+H25)</f>
        <v/>
      </c>
      <c r="I26" s="24">
        <f>H26*(1+I25)</f>
        <v/>
      </c>
      <c r="J26" s="24">
        <f>I26*(1+J25)</f>
        <v/>
      </c>
      <c r="K26" s="24">
        <f>J26*(1+K25)</f>
        <v/>
      </c>
      <c r="L26" s="24">
        <f>K26*(1+L25)</f>
        <v/>
      </c>
    </row>
    <row r="27">
      <c r="A27" s="3" t="inlineStr">
        <is>
          <t>Free cash flow per share (US$)</t>
        </is>
      </c>
      <c r="C27" s="24">
        <f>C26*$B$19</f>
        <v/>
      </c>
      <c r="D27" s="24">
        <f>D26*$B$19</f>
        <v/>
      </c>
      <c r="E27" s="24">
        <f>E26*$B$19</f>
        <v/>
      </c>
      <c r="F27" s="24">
        <f>F26*$B$19</f>
        <v/>
      </c>
      <c r="G27" s="24">
        <f>G26*$B$19</f>
        <v/>
      </c>
      <c r="H27" s="24">
        <f>H26*$B$19</f>
        <v/>
      </c>
      <c r="I27" s="24">
        <f>I26*$B$19</f>
        <v/>
      </c>
      <c r="J27" s="24">
        <f>J26*$B$19</f>
        <v/>
      </c>
      <c r="K27" s="24">
        <f>K26*$B$19</f>
        <v/>
      </c>
      <c r="L27" s="24">
        <f>L26*$B$19</f>
        <v/>
      </c>
    </row>
    <row r="28">
      <c r="A28" s="3" t="inlineStr">
        <is>
          <t>Discount factor</t>
        </is>
      </c>
      <c r="C28" s="22">
        <f>1/(1+$B$8)^C24</f>
        <v/>
      </c>
      <c r="D28" s="22">
        <f>1/(1+$B$8)^D24</f>
        <v/>
      </c>
      <c r="E28" s="22">
        <f>1/(1+$B$8)^E24</f>
        <v/>
      </c>
      <c r="F28" s="22">
        <f>1/(1+$B$8)^F24</f>
        <v/>
      </c>
      <c r="G28" s="22">
        <f>1/(1+$B$8)^G24</f>
        <v/>
      </c>
      <c r="H28" s="22">
        <f>1/(1+$B$8)^H24</f>
        <v/>
      </c>
      <c r="I28" s="22">
        <f>1/(1+$B$8)^I24</f>
        <v/>
      </c>
      <c r="J28" s="22">
        <f>1/(1+$B$8)^J24</f>
        <v/>
      </c>
      <c r="K28" s="22">
        <f>1/(1+$B$8)^K24</f>
        <v/>
      </c>
      <c r="L28" s="22">
        <f>1/(1+$B$8)^L24</f>
        <v/>
      </c>
    </row>
    <row r="29">
      <c r="A29" s="3" t="inlineStr">
        <is>
          <t>Present value (US$)</t>
        </is>
      </c>
      <c r="C29" s="24">
        <f>C27*C28</f>
        <v/>
      </c>
      <c r="D29" s="24">
        <f>D27*D28</f>
        <v/>
      </c>
      <c r="E29" s="24">
        <f>E27*E28</f>
        <v/>
      </c>
      <c r="F29" s="24">
        <f>F27*F28</f>
        <v/>
      </c>
      <c r="G29" s="24">
        <f>G27*G28</f>
        <v/>
      </c>
      <c r="H29" s="24">
        <f>H27*H28</f>
        <v/>
      </c>
      <c r="I29" s="24">
        <f>I27*I28</f>
        <v/>
      </c>
      <c r="J29" s="24">
        <f>J27*J28</f>
        <v/>
      </c>
      <c r="K29" s="24">
        <f>K27*K28</f>
        <v/>
      </c>
      <c r="L29" s="24">
        <f>L27*L28</f>
        <v/>
      </c>
    </row>
    <row r="32">
      <c r="A32" s="6" t="inlineStr">
        <is>
          <t>Base case</t>
        </is>
      </c>
      <c r="C32" s="5" t="inlineStr">
        <is>
          <t>Y1</t>
        </is>
      </c>
      <c r="D32" s="5" t="inlineStr">
        <is>
          <t>Y2</t>
        </is>
      </c>
      <c r="E32" s="5" t="inlineStr">
        <is>
          <t>Y3</t>
        </is>
      </c>
      <c r="F32" s="5" t="inlineStr">
        <is>
          <t>Y4</t>
        </is>
      </c>
      <c r="G32" s="5" t="inlineStr">
        <is>
          <t>Y5</t>
        </is>
      </c>
      <c r="H32" s="5" t="inlineStr">
        <is>
          <t>Y6</t>
        </is>
      </c>
      <c r="I32" s="5" t="inlineStr">
        <is>
          <t>Y7</t>
        </is>
      </c>
      <c r="J32" s="5" t="inlineStr">
        <is>
          <t>Y8</t>
        </is>
      </c>
      <c r="K32" s="5" t="inlineStr">
        <is>
          <t>Y9</t>
        </is>
      </c>
      <c r="L32" s="5" t="inlineStr">
        <is>
          <t>Y10</t>
        </is>
      </c>
    </row>
    <row r="33">
      <c r="A33" s="3" t="inlineStr">
        <is>
          <t>Year index</t>
        </is>
      </c>
      <c r="C33" s="21" t="n">
        <v>1</v>
      </c>
      <c r="D33" s="21" t="n">
        <v>2</v>
      </c>
      <c r="E33" s="21" t="n">
        <v>3</v>
      </c>
      <c r="F33" s="21" t="n">
        <v>4</v>
      </c>
      <c r="G33" s="21" t="n">
        <v>5</v>
      </c>
      <c r="H33" s="21" t="n">
        <v>6</v>
      </c>
      <c r="I33" s="21" t="n">
        <v>7</v>
      </c>
      <c r="J33" s="21" t="n">
        <v>8</v>
      </c>
      <c r="K33" s="21" t="n">
        <v>9</v>
      </c>
      <c r="L33" s="21" t="n">
        <v>10</v>
      </c>
    </row>
    <row r="34">
      <c r="A34" s="3" t="inlineStr">
        <is>
          <t>Earnings growth</t>
        </is>
      </c>
      <c r="C34" s="11">
        <f>$C$17+($C$18-$C$17)*(C33-1)/9</f>
        <v/>
      </c>
      <c r="D34" s="11">
        <f>$C$17+($C$18-$C$17)*(D33-1)/9</f>
        <v/>
      </c>
      <c r="E34" s="11">
        <f>$C$17+($C$18-$C$17)*(E33-1)/9</f>
        <v/>
      </c>
      <c r="F34" s="11">
        <f>$C$17+($C$18-$C$17)*(F33-1)/9</f>
        <v/>
      </c>
      <c r="G34" s="11">
        <f>$C$17+($C$18-$C$17)*(G33-1)/9</f>
        <v/>
      </c>
      <c r="H34" s="11">
        <f>$C$17+($C$18-$C$17)*(H33-1)/9</f>
        <v/>
      </c>
      <c r="I34" s="11">
        <f>$C$17+($C$18-$C$17)*(I33-1)/9</f>
        <v/>
      </c>
      <c r="J34" s="11">
        <f>$C$17+($C$18-$C$17)*(J33-1)/9</f>
        <v/>
      </c>
      <c r="K34" s="11">
        <f>$C$17+($C$18-$C$17)*(K33-1)/9</f>
        <v/>
      </c>
      <c r="L34" s="11">
        <f>$C$17+($C$18-$C$17)*(L33-1)/9</f>
        <v/>
      </c>
    </row>
    <row r="35">
      <c r="A35" s="3" t="inlineStr">
        <is>
          <t>Earnings per share (US$)</t>
        </is>
      </c>
      <c r="C35" s="24">
        <f>$C$16*(1+C34)</f>
        <v/>
      </c>
      <c r="D35" s="24">
        <f>C35*(1+D34)</f>
        <v/>
      </c>
      <c r="E35" s="24">
        <f>D35*(1+E34)</f>
        <v/>
      </c>
      <c r="F35" s="24">
        <f>E35*(1+F34)</f>
        <v/>
      </c>
      <c r="G35" s="24">
        <f>F35*(1+G34)</f>
        <v/>
      </c>
      <c r="H35" s="24">
        <f>G35*(1+H34)</f>
        <v/>
      </c>
      <c r="I35" s="24">
        <f>H35*(1+I34)</f>
        <v/>
      </c>
      <c r="J35" s="24">
        <f>I35*(1+J34)</f>
        <v/>
      </c>
      <c r="K35" s="24">
        <f>J35*(1+K34)</f>
        <v/>
      </c>
      <c r="L35" s="24">
        <f>K35*(1+L34)</f>
        <v/>
      </c>
    </row>
    <row r="36">
      <c r="A36" s="3" t="inlineStr">
        <is>
          <t>Free cash flow per share (US$)</t>
        </is>
      </c>
      <c r="C36" s="24">
        <f>C35*$C$19</f>
        <v/>
      </c>
      <c r="D36" s="24">
        <f>D35*$C$19</f>
        <v/>
      </c>
      <c r="E36" s="24">
        <f>E35*$C$19</f>
        <v/>
      </c>
      <c r="F36" s="24">
        <f>F35*$C$19</f>
        <v/>
      </c>
      <c r="G36" s="24">
        <f>G35*$C$19</f>
        <v/>
      </c>
      <c r="H36" s="24">
        <f>H35*$C$19</f>
        <v/>
      </c>
      <c r="I36" s="24">
        <f>I35*$C$19</f>
        <v/>
      </c>
      <c r="J36" s="24">
        <f>J35*$C$19</f>
        <v/>
      </c>
      <c r="K36" s="24">
        <f>K35*$C$19</f>
        <v/>
      </c>
      <c r="L36" s="24">
        <f>L35*$C$19</f>
        <v/>
      </c>
    </row>
    <row r="37">
      <c r="A37" s="3" t="inlineStr">
        <is>
          <t>Discount factor</t>
        </is>
      </c>
      <c r="C37" s="22">
        <f>1/(1+$B$8)^C33</f>
        <v/>
      </c>
      <c r="D37" s="22">
        <f>1/(1+$B$8)^D33</f>
        <v/>
      </c>
      <c r="E37" s="22">
        <f>1/(1+$B$8)^E33</f>
        <v/>
      </c>
      <c r="F37" s="22">
        <f>1/(1+$B$8)^F33</f>
        <v/>
      </c>
      <c r="G37" s="22">
        <f>1/(1+$B$8)^G33</f>
        <v/>
      </c>
      <c r="H37" s="22">
        <f>1/(1+$B$8)^H33</f>
        <v/>
      </c>
      <c r="I37" s="22">
        <f>1/(1+$B$8)^I33</f>
        <v/>
      </c>
      <c r="J37" s="22">
        <f>1/(1+$B$8)^J33</f>
        <v/>
      </c>
      <c r="K37" s="22">
        <f>1/(1+$B$8)^K33</f>
        <v/>
      </c>
      <c r="L37" s="22">
        <f>1/(1+$B$8)^L33</f>
        <v/>
      </c>
    </row>
    <row r="38">
      <c r="A38" s="3" t="inlineStr">
        <is>
          <t>Present value (US$)</t>
        </is>
      </c>
      <c r="C38" s="24">
        <f>C36*C37</f>
        <v/>
      </c>
      <c r="D38" s="24">
        <f>D36*D37</f>
        <v/>
      </c>
      <c r="E38" s="24">
        <f>E36*E37</f>
        <v/>
      </c>
      <c r="F38" s="24">
        <f>F36*F37</f>
        <v/>
      </c>
      <c r="G38" s="24">
        <f>G36*G37</f>
        <v/>
      </c>
      <c r="H38" s="24">
        <f>H36*H37</f>
        <v/>
      </c>
      <c r="I38" s="24">
        <f>I36*I37</f>
        <v/>
      </c>
      <c r="J38" s="24">
        <f>J36*J37</f>
        <v/>
      </c>
      <c r="K38" s="24">
        <f>K36*K37</f>
        <v/>
      </c>
      <c r="L38" s="24">
        <f>L36*L37</f>
        <v/>
      </c>
    </row>
    <row r="41">
      <c r="A41" s="6" t="inlineStr">
        <is>
          <t>Bull case</t>
        </is>
      </c>
      <c r="C41" s="5" t="inlineStr">
        <is>
          <t>Y1</t>
        </is>
      </c>
      <c r="D41" s="5" t="inlineStr">
        <is>
          <t>Y2</t>
        </is>
      </c>
      <c r="E41" s="5" t="inlineStr">
        <is>
          <t>Y3</t>
        </is>
      </c>
      <c r="F41" s="5" t="inlineStr">
        <is>
          <t>Y4</t>
        </is>
      </c>
      <c r="G41" s="5" t="inlineStr">
        <is>
          <t>Y5</t>
        </is>
      </c>
      <c r="H41" s="5" t="inlineStr">
        <is>
          <t>Y6</t>
        </is>
      </c>
      <c r="I41" s="5" t="inlineStr">
        <is>
          <t>Y7</t>
        </is>
      </c>
      <c r="J41" s="5" t="inlineStr">
        <is>
          <t>Y8</t>
        </is>
      </c>
      <c r="K41" s="5" t="inlineStr">
        <is>
          <t>Y9</t>
        </is>
      </c>
      <c r="L41" s="5" t="inlineStr">
        <is>
          <t>Y10</t>
        </is>
      </c>
    </row>
    <row r="42">
      <c r="A42" s="3" t="inlineStr">
        <is>
          <t>Year index</t>
        </is>
      </c>
      <c r="C42" s="21" t="n">
        <v>1</v>
      </c>
      <c r="D42" s="21" t="n">
        <v>2</v>
      </c>
      <c r="E42" s="21" t="n">
        <v>3</v>
      </c>
      <c r="F42" s="21" t="n">
        <v>4</v>
      </c>
      <c r="G42" s="21" t="n">
        <v>5</v>
      </c>
      <c r="H42" s="21" t="n">
        <v>6</v>
      </c>
      <c r="I42" s="21" t="n">
        <v>7</v>
      </c>
      <c r="J42" s="21" t="n">
        <v>8</v>
      </c>
      <c r="K42" s="21" t="n">
        <v>9</v>
      </c>
      <c r="L42" s="21" t="n">
        <v>10</v>
      </c>
    </row>
    <row r="43">
      <c r="A43" s="3" t="inlineStr">
        <is>
          <t>Earnings growth</t>
        </is>
      </c>
      <c r="C43" s="11">
        <f>$D$17+($D$18-$D$17)*(C42-1)/9</f>
        <v/>
      </c>
      <c r="D43" s="11">
        <f>$D$17+($D$18-$D$17)*(D42-1)/9</f>
        <v/>
      </c>
      <c r="E43" s="11">
        <f>$D$17+($D$18-$D$17)*(E42-1)/9</f>
        <v/>
      </c>
      <c r="F43" s="11">
        <f>$D$17+($D$18-$D$17)*(F42-1)/9</f>
        <v/>
      </c>
      <c r="G43" s="11">
        <f>$D$17+($D$18-$D$17)*(G42-1)/9</f>
        <v/>
      </c>
      <c r="H43" s="11">
        <f>$D$17+($D$18-$D$17)*(H42-1)/9</f>
        <v/>
      </c>
      <c r="I43" s="11">
        <f>$D$17+($D$18-$D$17)*(I42-1)/9</f>
        <v/>
      </c>
      <c r="J43" s="11">
        <f>$D$17+($D$18-$D$17)*(J42-1)/9</f>
        <v/>
      </c>
      <c r="K43" s="11">
        <f>$D$17+($D$18-$D$17)*(K42-1)/9</f>
        <v/>
      </c>
      <c r="L43" s="11">
        <f>$D$17+($D$18-$D$17)*(L42-1)/9</f>
        <v/>
      </c>
    </row>
    <row r="44">
      <c r="A44" s="3" t="inlineStr">
        <is>
          <t>Earnings per share (US$)</t>
        </is>
      </c>
      <c r="C44" s="24">
        <f>$D$16*(1+C43)</f>
        <v/>
      </c>
      <c r="D44" s="24">
        <f>C44*(1+D43)</f>
        <v/>
      </c>
      <c r="E44" s="24">
        <f>D44*(1+E43)</f>
        <v/>
      </c>
      <c r="F44" s="24">
        <f>E44*(1+F43)</f>
        <v/>
      </c>
      <c r="G44" s="24">
        <f>F44*(1+G43)</f>
        <v/>
      </c>
      <c r="H44" s="24">
        <f>G44*(1+H43)</f>
        <v/>
      </c>
      <c r="I44" s="24">
        <f>H44*(1+I43)</f>
        <v/>
      </c>
      <c r="J44" s="24">
        <f>I44*(1+J43)</f>
        <v/>
      </c>
      <c r="K44" s="24">
        <f>J44*(1+K43)</f>
        <v/>
      </c>
      <c r="L44" s="24">
        <f>K44*(1+L43)</f>
        <v/>
      </c>
    </row>
    <row r="45">
      <c r="A45" s="3" t="inlineStr">
        <is>
          <t>Free cash flow per share (US$)</t>
        </is>
      </c>
      <c r="C45" s="24">
        <f>C44*$D$19</f>
        <v/>
      </c>
      <c r="D45" s="24">
        <f>D44*$D$19</f>
        <v/>
      </c>
      <c r="E45" s="24">
        <f>E44*$D$19</f>
        <v/>
      </c>
      <c r="F45" s="24">
        <f>F44*$D$19</f>
        <v/>
      </c>
      <c r="G45" s="24">
        <f>G44*$D$19</f>
        <v/>
      </c>
      <c r="H45" s="24">
        <f>H44*$D$19</f>
        <v/>
      </c>
      <c r="I45" s="24">
        <f>I44*$D$19</f>
        <v/>
      </c>
      <c r="J45" s="24">
        <f>J44*$D$19</f>
        <v/>
      </c>
      <c r="K45" s="24">
        <f>K44*$D$19</f>
        <v/>
      </c>
      <c r="L45" s="24">
        <f>L44*$D$19</f>
        <v/>
      </c>
    </row>
    <row r="46">
      <c r="A46" s="3" t="inlineStr">
        <is>
          <t>Discount factor</t>
        </is>
      </c>
      <c r="C46" s="22">
        <f>1/(1+$B$8)^C42</f>
        <v/>
      </c>
      <c r="D46" s="22">
        <f>1/(1+$B$8)^D42</f>
        <v/>
      </c>
      <c r="E46" s="22">
        <f>1/(1+$B$8)^E42</f>
        <v/>
      </c>
      <c r="F46" s="22">
        <f>1/(1+$B$8)^F42</f>
        <v/>
      </c>
      <c r="G46" s="22">
        <f>1/(1+$B$8)^G42</f>
        <v/>
      </c>
      <c r="H46" s="22">
        <f>1/(1+$B$8)^H42</f>
        <v/>
      </c>
      <c r="I46" s="22">
        <f>1/(1+$B$8)^I42</f>
        <v/>
      </c>
      <c r="J46" s="22">
        <f>1/(1+$B$8)^J42</f>
        <v/>
      </c>
      <c r="K46" s="22">
        <f>1/(1+$B$8)^K42</f>
        <v/>
      </c>
      <c r="L46" s="22">
        <f>1/(1+$B$8)^L42</f>
        <v/>
      </c>
    </row>
    <row r="47">
      <c r="A47" s="3" t="inlineStr">
        <is>
          <t>Present value (US$)</t>
        </is>
      </c>
      <c r="C47" s="24">
        <f>C45*C46</f>
        <v/>
      </c>
      <c r="D47" s="24">
        <f>D45*D46</f>
        <v/>
      </c>
      <c r="E47" s="24">
        <f>E45*E46</f>
        <v/>
      </c>
      <c r="F47" s="24">
        <f>F45*F46</f>
        <v/>
      </c>
      <c r="G47" s="24">
        <f>G45*G46</f>
        <v/>
      </c>
      <c r="H47" s="24">
        <f>H45*H46</f>
        <v/>
      </c>
      <c r="I47" s="24">
        <f>I45*I46</f>
        <v/>
      </c>
      <c r="J47" s="24">
        <f>J45*J46</f>
        <v/>
      </c>
      <c r="K47" s="24">
        <f>K45*K46</f>
        <v/>
      </c>
      <c r="L47" s="24">
        <f>L45*L46</f>
        <v/>
      </c>
    </row>
    <row r="50">
      <c r="A50" s="12" t="inlineStr">
        <is>
          <t>4. Valuation per index share</t>
        </is>
      </c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</row>
    <row r="51">
      <c r="B51" s="5" t="inlineStr">
        <is>
          <t>Bear</t>
        </is>
      </c>
      <c r="C51" s="5" t="inlineStr">
        <is>
          <t>Base</t>
        </is>
      </c>
      <c r="D51" s="5" t="inlineStr">
        <is>
          <t>Bull</t>
        </is>
      </c>
    </row>
    <row r="52">
      <c r="A52" s="3" t="inlineStr">
        <is>
          <t>PV of years 1 to 10 FCF (US$)</t>
        </is>
      </c>
      <c r="B52" s="24">
        <f>SUM(C29:L29)</f>
        <v/>
      </c>
      <c r="C52" s="24">
        <f>SUM(C38:L38)</f>
        <v/>
      </c>
      <c r="D52" s="24">
        <f>SUM(C47:L47)</f>
        <v/>
      </c>
    </row>
    <row r="53">
      <c r="A53" s="3" t="inlineStr">
        <is>
          <t>Terminal value at year 10 (US$)</t>
        </is>
      </c>
      <c r="B53" s="24">
        <f>L27*(1+$B$9)/($B$8-$B$9)</f>
        <v/>
      </c>
      <c r="C53" s="24">
        <f>L36*(1+$B$9)/($B$8-$B$9)</f>
        <v/>
      </c>
      <c r="D53" s="24">
        <f>L45*(1+$B$9)/($B$8-$B$9)</f>
        <v/>
      </c>
    </row>
    <row r="54">
      <c r="A54" s="3" t="inlineStr">
        <is>
          <t>PV of terminal value (US$)</t>
        </is>
      </c>
      <c r="B54" s="24">
        <f>B53*L28</f>
        <v/>
      </c>
      <c r="C54" s="24">
        <f>C53*L37</f>
        <v/>
      </c>
      <c r="D54" s="24">
        <f>D53*L46</f>
        <v/>
      </c>
    </row>
    <row r="55">
      <c r="A55" s="3" t="inlineStr">
        <is>
          <t>Value per share (US$)</t>
        </is>
      </c>
      <c r="B55" s="23">
        <f>B52+B54</f>
        <v/>
      </c>
      <c r="C55" s="23">
        <f>C52+C54</f>
        <v/>
      </c>
      <c r="D55" s="23">
        <f>D52+D54</f>
        <v/>
      </c>
    </row>
    <row r="56">
      <c r="A56" s="3" t="inlineStr">
        <is>
          <t>Terminal value as share of value</t>
        </is>
      </c>
      <c r="B56" s="11">
        <f>B54/B55</f>
        <v/>
      </c>
      <c r="C56" s="11">
        <f>C54/C55</f>
        <v/>
      </c>
      <c r="D56" s="11">
        <f>D54/D55</f>
        <v/>
      </c>
    </row>
    <row r="58">
      <c r="A58" s="6" t="inlineStr">
        <is>
          <t>Probability-weighted fair value (US$)</t>
        </is>
      </c>
      <c r="B58" s="23">
        <f>SUMPRODUCT(B55:D55,B20:D20)</f>
        <v/>
      </c>
    </row>
    <row r="59">
      <c r="A59" s="3" t="inlineStr">
        <is>
          <t>Buy-below price after margin of safety (US$)</t>
        </is>
      </c>
      <c r="B59" s="24">
        <f>B58*(1-B10)</f>
        <v/>
      </c>
    </row>
    <row r="60">
      <c r="A60" s="3" t="inlineStr">
        <is>
          <t>Current price (US$)</t>
        </is>
      </c>
      <c r="B60" s="24">
        <f>B5</f>
        <v/>
      </c>
    </row>
    <row r="61">
      <c r="A61" s="3" t="inlineStr">
        <is>
          <t>Price vs fair value (positive = price above value)</t>
        </is>
      </c>
      <c r="B61" s="11">
        <f>B60/B58-1</f>
        <v/>
      </c>
    </row>
    <row r="62">
      <c r="A62" s="6" t="inlineStr">
        <is>
          <t>Status</t>
        </is>
      </c>
      <c r="B62" s="6">
        <f>IF(B60&lt;=B59,"Attractive",IF(B60&lt;=B58*(1-B10/2),"Potentially interesting",IF(B60&lt;=B58,"Little margin of safety","Above estimated value")))</f>
        <v/>
      </c>
    </row>
    <row r="63">
      <c r="A63" s="3" t="inlineStr">
        <is>
          <t>No-growth value per share (US$)</t>
        </is>
      </c>
      <c r="B63" s="24">
        <f>C16*C19/B8</f>
        <v/>
      </c>
    </row>
    <row r="64">
      <c r="A64" s="3" t="inlineStr">
        <is>
          <t>Implied annual return at today's price (base case)</t>
        </is>
      </c>
      <c r="B64" s="25">
        <f>IFERROR(INDEX($C$75:$L$75,MATCH($B$5,$C$76:$L$76,-1))+(INDEX($C$76:$L$76,MATCH($B$5,$C$76:$L$76,-1))-$B$5)/(INDEX($C$76:$L$76,MATCH($B$5,$C$76:$L$76,-1))-INDEX($C$76:$L$76,MATCH($B$5,$C$76:$L$76,-1)+1))*($D$75-$C$75),"outside grid")</f>
        <v/>
      </c>
    </row>
    <row r="66">
      <c r="A66" s="12" t="inlineStr">
        <is>
          <t>5. Sensitivity: base-case value per share (US$) by required return and terminal growth</t>
        </is>
      </c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</row>
    <row r="67">
      <c r="A67" s="6" t="inlineStr">
        <is>
          <t>Required return (down) / terminal growth (across)</t>
        </is>
      </c>
      <c r="C67" s="25">
        <f>$B$9+(-0.01)</f>
        <v/>
      </c>
      <c r="D67" s="25">
        <f>$B$9+(-0.005)</f>
        <v/>
      </c>
      <c r="E67" s="25">
        <f>$B$9+(0)</f>
        <v/>
      </c>
      <c r="F67" s="25">
        <f>$B$9+(0.005)</f>
        <v/>
      </c>
      <c r="G67" s="25">
        <f>$B$9+(0.01)</f>
        <v/>
      </c>
    </row>
    <row r="68">
      <c r="B68" s="25">
        <f>$B$8+(-0.02)</f>
        <v/>
      </c>
      <c r="C68" s="24">
        <f>SUMPRODUCT($C$36:$L$36/(1+$B68)^$C$33:$L$33)+$L$36*(1+C$67)/($B68-C$67)/(1+$B68)^$L$33</f>
        <v/>
      </c>
      <c r="D68" s="24">
        <f>SUMPRODUCT($C$36:$L$36/(1+$B68)^$C$33:$L$33)+$L$36*(1+D$67)/($B68-D$67)/(1+$B68)^$L$33</f>
        <v/>
      </c>
      <c r="E68" s="24">
        <f>SUMPRODUCT($C$36:$L$36/(1+$B68)^$C$33:$L$33)+$L$36*(1+E$67)/($B68-E$67)/(1+$B68)^$L$33</f>
        <v/>
      </c>
      <c r="F68" s="24">
        <f>SUMPRODUCT($C$36:$L$36/(1+$B68)^$C$33:$L$33)+$L$36*(1+F$67)/($B68-F$67)/(1+$B68)^$L$33</f>
        <v/>
      </c>
      <c r="G68" s="24">
        <f>SUMPRODUCT($C$36:$L$36/(1+$B68)^$C$33:$L$33)+$L$36*(1+G$67)/($B68-G$67)/(1+$B68)^$L$33</f>
        <v/>
      </c>
    </row>
    <row r="69">
      <c r="B69" s="25">
        <f>$B$8+(-0.01)</f>
        <v/>
      </c>
      <c r="C69" s="24">
        <f>SUMPRODUCT($C$36:$L$36/(1+$B69)^$C$33:$L$33)+$L$36*(1+C$67)/($B69-C$67)/(1+$B69)^$L$33</f>
        <v/>
      </c>
      <c r="D69" s="24">
        <f>SUMPRODUCT($C$36:$L$36/(1+$B69)^$C$33:$L$33)+$L$36*(1+D$67)/($B69-D$67)/(1+$B69)^$L$33</f>
        <v/>
      </c>
      <c r="E69" s="24">
        <f>SUMPRODUCT($C$36:$L$36/(1+$B69)^$C$33:$L$33)+$L$36*(1+E$67)/($B69-E$67)/(1+$B69)^$L$33</f>
        <v/>
      </c>
      <c r="F69" s="24">
        <f>SUMPRODUCT($C$36:$L$36/(1+$B69)^$C$33:$L$33)+$L$36*(1+F$67)/($B69-F$67)/(1+$B69)^$L$33</f>
        <v/>
      </c>
      <c r="G69" s="24">
        <f>SUMPRODUCT($C$36:$L$36/(1+$B69)^$C$33:$L$33)+$L$36*(1+G$67)/($B69-G$67)/(1+$B69)^$L$33</f>
        <v/>
      </c>
    </row>
    <row r="70">
      <c r="B70" s="25">
        <f>$B$8+(0)</f>
        <v/>
      </c>
      <c r="C70" s="24">
        <f>SUMPRODUCT($C$36:$L$36/(1+$B70)^$C$33:$L$33)+$L$36*(1+C$67)/($B70-C$67)/(1+$B70)^$L$33</f>
        <v/>
      </c>
      <c r="D70" s="24">
        <f>SUMPRODUCT($C$36:$L$36/(1+$B70)^$C$33:$L$33)+$L$36*(1+D$67)/($B70-D$67)/(1+$B70)^$L$33</f>
        <v/>
      </c>
      <c r="E70" s="26">
        <f>SUMPRODUCT($C$36:$L$36/(1+$B70)^$C$33:$L$33)+$L$36*(1+E$67)/($B70-E$67)/(1+$B70)^$L$33</f>
        <v/>
      </c>
      <c r="F70" s="24">
        <f>SUMPRODUCT($C$36:$L$36/(1+$B70)^$C$33:$L$33)+$L$36*(1+F$67)/($B70-F$67)/(1+$B70)^$L$33</f>
        <v/>
      </c>
      <c r="G70" s="24">
        <f>SUMPRODUCT($C$36:$L$36/(1+$B70)^$C$33:$L$33)+$L$36*(1+G$67)/($B70-G$67)/(1+$B70)^$L$33</f>
        <v/>
      </c>
    </row>
    <row r="71">
      <c r="B71" s="25">
        <f>$B$8+(0.01)</f>
        <v/>
      </c>
      <c r="C71" s="24">
        <f>SUMPRODUCT($C$36:$L$36/(1+$B71)^$C$33:$L$33)+$L$36*(1+C$67)/($B71-C$67)/(1+$B71)^$L$33</f>
        <v/>
      </c>
      <c r="D71" s="24">
        <f>SUMPRODUCT($C$36:$L$36/(1+$B71)^$C$33:$L$33)+$L$36*(1+D$67)/($B71-D$67)/(1+$B71)^$L$33</f>
        <v/>
      </c>
      <c r="E71" s="24">
        <f>SUMPRODUCT($C$36:$L$36/(1+$B71)^$C$33:$L$33)+$L$36*(1+E$67)/($B71-E$67)/(1+$B71)^$L$33</f>
        <v/>
      </c>
      <c r="F71" s="24">
        <f>SUMPRODUCT($C$36:$L$36/(1+$B71)^$C$33:$L$33)+$L$36*(1+F$67)/($B71-F$67)/(1+$B71)^$L$33</f>
        <v/>
      </c>
      <c r="G71" s="24">
        <f>SUMPRODUCT($C$36:$L$36/(1+$B71)^$C$33:$L$33)+$L$36*(1+G$67)/($B71-G$67)/(1+$B71)^$L$33</f>
        <v/>
      </c>
    </row>
    <row r="72">
      <c r="B72" s="25">
        <f>$B$8+(0.02)</f>
        <v/>
      </c>
      <c r="C72" s="24">
        <f>SUMPRODUCT($C$36:$L$36/(1+$B72)^$C$33:$L$33)+$L$36*(1+C$67)/($B72-C$67)/(1+$B72)^$L$33</f>
        <v/>
      </c>
      <c r="D72" s="24">
        <f>SUMPRODUCT($C$36:$L$36/(1+$B72)^$C$33:$L$33)+$L$36*(1+D$67)/($B72-D$67)/(1+$B72)^$L$33</f>
        <v/>
      </c>
      <c r="E72" s="24">
        <f>SUMPRODUCT($C$36:$L$36/(1+$B72)^$C$33:$L$33)+$L$36*(1+E$67)/($B72-E$67)/(1+$B72)^$L$33</f>
        <v/>
      </c>
      <c r="F72" s="24">
        <f>SUMPRODUCT($C$36:$L$36/(1+$B72)^$C$33:$L$33)+$L$36*(1+F$67)/($B72-F$67)/(1+$B72)^$L$33</f>
        <v/>
      </c>
      <c r="G72" s="24">
        <f>SUMPRODUCT($C$36:$L$36/(1+$B72)^$C$33:$L$33)+$L$36*(1+G$67)/($B72-G$67)/(1+$B72)^$L$33</f>
        <v/>
      </c>
    </row>
    <row r="74">
      <c r="A74" s="12" t="inlineStr">
        <is>
          <t>6. Helper: base-case value at different required returns</t>
        </is>
      </c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</row>
    <row r="75">
      <c r="A75" s="3" t="inlineStr">
        <is>
          <t>Required return</t>
        </is>
      </c>
      <c r="C75" s="4" t="n">
        <v>0.035</v>
      </c>
      <c r="D75" s="11">
        <f>C75+0.01</f>
        <v/>
      </c>
      <c r="E75" s="11">
        <f>D75+0.01</f>
        <v/>
      </c>
      <c r="F75" s="11">
        <f>E75+0.01</f>
        <v/>
      </c>
      <c r="G75" s="11">
        <f>F75+0.01</f>
        <v/>
      </c>
      <c r="H75" s="11">
        <f>G75+0.01</f>
        <v/>
      </c>
      <c r="I75" s="11">
        <f>H75+0.01</f>
        <v/>
      </c>
      <c r="J75" s="11">
        <f>I75+0.01</f>
        <v/>
      </c>
      <c r="K75" s="11">
        <f>J75+0.01</f>
        <v/>
      </c>
      <c r="L75" s="11">
        <f>K75+0.01</f>
        <v/>
      </c>
    </row>
    <row r="76">
      <c r="A76" s="3" t="inlineStr">
        <is>
          <t>Base-case value per share (US$)</t>
        </is>
      </c>
      <c r="C76" s="24">
        <f>SUMPRODUCT($C$36:$L$36/(1+C75)^$C$33:$L$33)+$L$36*(1+$B$9)/(C75-$B$9)/(1+C75)^$L$33</f>
        <v/>
      </c>
      <c r="D76" s="24">
        <f>SUMPRODUCT($C$36:$L$36/(1+D75)^$C$33:$L$33)+$L$36*(1+$B$9)/(D75-$B$9)/(1+D75)^$L$33</f>
        <v/>
      </c>
      <c r="E76" s="24">
        <f>SUMPRODUCT($C$36:$L$36/(1+E75)^$C$33:$L$33)+$L$36*(1+$B$9)/(E75-$B$9)/(1+E75)^$L$33</f>
        <v/>
      </c>
      <c r="F76" s="24">
        <f>SUMPRODUCT($C$36:$L$36/(1+F75)^$C$33:$L$33)+$L$36*(1+$B$9)/(F75-$B$9)/(1+F75)^$L$33</f>
        <v/>
      </c>
      <c r="G76" s="24">
        <f>SUMPRODUCT($C$36:$L$36/(1+G75)^$C$33:$L$33)+$L$36*(1+$B$9)/(G75-$B$9)/(1+G75)^$L$33</f>
        <v/>
      </c>
      <c r="H76" s="24">
        <f>SUMPRODUCT($C$36:$L$36/(1+H75)^$C$33:$L$33)+$L$36*(1+$B$9)/(H75-$B$9)/(1+H75)^$L$33</f>
        <v/>
      </c>
      <c r="I76" s="24">
        <f>SUMPRODUCT($C$36:$L$36/(1+I75)^$C$33:$L$33)+$L$36*(1+$B$9)/(I75-$B$9)/(1+I75)^$L$33</f>
        <v/>
      </c>
      <c r="J76" s="24">
        <f>SUMPRODUCT($C$36:$L$36/(1+J75)^$C$33:$L$33)+$L$36*(1+$B$9)/(J75-$B$9)/(1+J75)^$L$33</f>
        <v/>
      </c>
      <c r="K76" s="24">
        <f>SUMPRODUCT($C$36:$L$36/(1+K75)^$C$33:$L$33)+$L$36*(1+$B$9)/(K75-$B$9)/(1+K75)^$L$33</f>
        <v/>
      </c>
      <c r="L76" s="24">
        <f>SUMPRODUCT($C$36:$L$36/(1+L75)^$C$33:$L$33)+$L$36*(1+$B$9)/(L75-$B$9)/(1+L75)^$L$33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52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GLD: SPDR Gold Shares</t>
        </is>
      </c>
    </row>
    <row r="2">
      <c r="A2" s="2" t="inlineStr">
        <is>
          <t>Reference range only. Gold produces no cash flow, so there is no intrinsic value to compute. Blue = input you can change. Black = formula. Green = link to another tab. US$ billions unless stated; per-share values in US$.</t>
        </is>
      </c>
    </row>
    <row r="4">
      <c r="A4" s="12" t="inlineStr">
        <is>
          <t>1. Inputs</t>
        </is>
      </c>
      <c r="B4" s="13" t="n"/>
      <c r="C4" s="13" t="n"/>
      <c r="D4" s="13" t="n"/>
      <c r="E4" s="13" t="n"/>
      <c r="F4" s="13" t="n"/>
    </row>
    <row r="5">
      <c r="A5" s="3" t="inlineStr">
        <is>
          <t>GLD share price (US$)</t>
        </is>
      </c>
      <c r="B5" s="14" t="n">
        <v>375.99</v>
      </c>
      <c r="C5" s="2" t="inlineStr">
        <is>
          <t>Close 14 Oct 2026, Macrotrends</t>
        </is>
      </c>
    </row>
    <row r="6">
      <c r="A6" s="3" t="inlineStr">
        <is>
          <t>Ounces of gold per GLD share</t>
        </is>
      </c>
      <c r="B6" s="29" t="n">
        <v>0.0925</v>
      </c>
      <c r="C6" s="2" t="inlineStr">
        <is>
          <t>ESTIMATE: about 0.0925 oz after years of fee deductions</t>
        </is>
      </c>
    </row>
    <row r="7">
      <c r="A7" s="3" t="inlineStr">
        <is>
          <t>Margin of safety</t>
        </is>
      </c>
      <c r="B7" s="4" t="n">
        <v>0.3</v>
      </c>
      <c r="C7" s="2" t="inlineStr">
        <is>
          <t>Wide because the range is a judgement, not a calculation</t>
        </is>
      </c>
    </row>
    <row r="8">
      <c r="A8" s="3" t="inlineStr">
        <is>
          <t>Gold price implied by GLD (US$/oz)</t>
        </is>
      </c>
      <c r="B8" s="30">
        <f>B5/B6</f>
        <v/>
      </c>
    </row>
    <row r="10">
      <c r="A10" s="12" t="inlineStr">
        <is>
          <t>2. Scenarios</t>
        </is>
      </c>
      <c r="B10" s="13" t="n"/>
      <c r="C10" s="13" t="n"/>
      <c r="D10" s="13" t="n"/>
      <c r="E10" s="13" t="n"/>
      <c r="F10" s="13" t="n"/>
    </row>
    <row r="11">
      <c r="B11" s="5" t="inlineStr">
        <is>
          <t>Bear</t>
        </is>
      </c>
      <c r="C11" s="5" t="inlineStr">
        <is>
          <t>Base</t>
        </is>
      </c>
      <c r="D11" s="5" t="inlineStr">
        <is>
          <t>Bull</t>
        </is>
      </c>
    </row>
    <row r="12">
      <c r="A12" s="3" t="inlineStr">
        <is>
          <t>Gold price (US$ per oz)</t>
        </is>
      </c>
      <c r="B12" s="31" t="n">
        <v>3300</v>
      </c>
      <c r="C12" s="31" t="n">
        <v>4100</v>
      </c>
      <c r="D12" s="31" t="n">
        <v>5000</v>
      </c>
    </row>
    <row r="13">
      <c r="A13" s="3" t="inlineStr">
        <is>
          <t>Probability</t>
        </is>
      </c>
      <c r="B13" s="18" t="n">
        <v>0.35</v>
      </c>
      <c r="C13" s="18" t="n">
        <v>0.45</v>
      </c>
      <c r="D13" s="18" t="n">
        <v>0.2</v>
      </c>
    </row>
    <row r="14">
      <c r="A14" s="3" t="inlineStr">
        <is>
          <t>Value per GLD share (US$)</t>
        </is>
      </c>
      <c r="B14" s="23">
        <f>B12*$B$6</f>
        <v/>
      </c>
      <c r="C14" s="23">
        <f>C12*$B$6</f>
        <v/>
      </c>
      <c r="D14" s="23">
        <f>D12*$B$6</f>
        <v/>
      </c>
    </row>
    <row r="15">
      <c r="A15" s="3" t="inlineStr">
        <is>
          <t>Rationale</t>
        </is>
      </c>
    </row>
    <row r="16" ht="95" customHeight="1">
      <c r="A16" s="3" t="inlineStr">
        <is>
          <t>Scenario description</t>
        </is>
      </c>
      <c r="B16" s="32" t="inlineStr">
        <is>
          <t>Real yields stay &gt;2.5%, USD firm; gold reverts toward the inflation-adjusted 1980 peak (~$3,300-3,500).</t>
        </is>
      </c>
      <c r="C16" s="32" t="inlineStr">
        <is>
          <t>Range-bound near the 2026 trading range as real yields and central-bank buying offset.</t>
        </is>
      </c>
      <c r="D16" s="32" t="inlineStr">
        <is>
          <t>Fed pivots / inflation de-anchors; sell-side targets of $4,900-5,000 are reached.</t>
        </is>
      </c>
    </row>
    <row r="18">
      <c r="A18" s="12" t="inlineStr">
        <is>
          <t>3. Reference value</t>
        </is>
      </c>
      <c r="B18" s="13" t="n"/>
      <c r="C18" s="13" t="n"/>
      <c r="D18" s="13" t="n"/>
      <c r="E18" s="13" t="n"/>
      <c r="F18" s="13" t="n"/>
    </row>
    <row r="19">
      <c r="A19" s="6" t="inlineStr">
        <is>
          <t>Probability-weighted reference value (US$)</t>
        </is>
      </c>
      <c r="B19" s="23">
        <f>SUMPRODUCT(B14:D14,B13:D13)</f>
        <v/>
      </c>
    </row>
    <row r="20">
      <c r="A20" s="3" t="inlineStr">
        <is>
          <t>Buy-below reference after margin of safety (US$)</t>
        </is>
      </c>
      <c r="B20" s="24">
        <f>B19*(1-B7)</f>
        <v/>
      </c>
    </row>
    <row r="21">
      <c r="A21" s="3" t="inlineStr">
        <is>
          <t>Current price (US$)</t>
        </is>
      </c>
      <c r="B21" s="24">
        <f>B5</f>
        <v/>
      </c>
    </row>
    <row r="22">
      <c r="A22" s="3" t="inlineStr">
        <is>
          <t>Price vs reference value</t>
        </is>
      </c>
      <c r="B22" s="11">
        <f>B21/B19-1</f>
        <v/>
      </c>
    </row>
    <row r="23">
      <c r="A23" s="6" t="inlineStr">
        <is>
          <t>Status</t>
        </is>
      </c>
      <c r="B23" s="6">
        <f>IF(B21&lt;=B20,"Below reference range",IF(B21&lt;=B19*(1-B7/2),"Lower half of range",IF(B21&lt;=B19,"Near reference value","Above reference range")))</f>
        <v/>
      </c>
    </row>
    <row r="25">
      <c r="A25" s="2" t="inlineStr">
        <is>
          <t>Scenario gold prices are judgement calls anchored to the 2026 trading range ($4,000 to $4,400), the inflation-adjusted 1980 peak and published sell-side targets. They are not derived from cash flows.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>
      <c r="A1" s="1" t="inlineStr">
        <is>
          <t>Sources</t>
        </is>
      </c>
    </row>
    <row r="2">
      <c r="A2" s="2" t="inlineStr">
        <is>
          <t>Where each figure came from. Prices and market data as of 14 Oct 2026.</t>
        </is>
      </c>
    </row>
    <row r="4">
      <c r="A4" s="5" t="inlineStr">
        <is>
          <t>Item</t>
        </is>
      </c>
      <c r="B4" s="5" t="inlineStr">
        <is>
          <t>Source</t>
        </is>
      </c>
    </row>
    <row r="5">
      <c r="A5" s="3" t="inlineStr">
        <is>
          <t>Prices (AAPL, MSFT, GOOGL, AMZN)</t>
        </is>
      </c>
      <c r="B5" s="3" t="inlineStr">
        <is>
          <t>StockAnalysis.com price history, S&amp;P Global Market Intelligence data, close 14 Oct 2026</t>
        </is>
      </c>
    </row>
    <row r="6">
      <c r="A6" s="3" t="inlineStr">
        <is>
          <t>QQQ price and trailing P/E</t>
        </is>
      </c>
      <c r="B6" s="3" t="inlineStr">
        <is>
          <t>Yahoo Finance QQQ quote, close 14 Oct 2026 (728.95; trailing P/E 27.91)</t>
        </is>
      </c>
    </row>
    <row r="7">
      <c r="A7" s="3" t="inlineStr">
        <is>
          <t>QQQ forward P/E</t>
        </is>
      </c>
      <c r="B7" s="3" t="inlineStr">
        <is>
          <t>Trefis QQQM valuation page, Aug 2026 (about 21.5x). Not refreshed since.</t>
        </is>
      </c>
    </row>
    <row r="8">
      <c r="A8" s="3" t="inlineStr">
        <is>
          <t>GLD price</t>
        </is>
      </c>
      <c r="B8" s="3" t="inlineStr">
        <is>
          <t>Macrotrends GLD price history, close 14 Oct 2026 (375.99)</t>
        </is>
      </c>
    </row>
    <row r="9">
      <c r="A9" s="3" t="inlineStr">
        <is>
          <t>Gold price context</t>
        </is>
      </c>
      <c r="B9" s="3" t="inlineStr">
        <is>
          <t>Bernama and psuconnect.in, Oct 2026: spot gold roughly $4,100 to $4,220 per oz</t>
        </is>
      </c>
    </row>
    <row r="10">
      <c r="A10" s="3" t="inlineStr">
        <is>
          <t>Apple financials</t>
        </is>
      </c>
      <c r="B10" s="3" t="inlineStr">
        <is>
          <t>Apple 10-Q for the quarter to 27 Jun 2026 (sec.gov); StockAnalysis.com cash flow, TTM Jun 2026</t>
        </is>
      </c>
    </row>
    <row r="11">
      <c r="A11" s="3" t="inlineStr">
        <is>
          <t>Microsoft financials</t>
        </is>
      </c>
      <c r="B11" s="3" t="inlineStr">
        <is>
          <t>StockAnalysis.com FY2026 cash flow and balance sheet; Microsoft Q4 FY2026 earnings call (29 Jul 2026)</t>
        </is>
      </c>
    </row>
    <row r="12">
      <c r="A12" s="3" t="inlineStr">
        <is>
          <t>Alphabet financials</t>
        </is>
      </c>
      <c r="B12" s="3" t="inlineStr">
        <is>
          <t>Alphabet Q2 2026 earnings release and 10-Q (sec.gov); StockAnalysis.com balance sheet</t>
        </is>
      </c>
    </row>
    <row r="13">
      <c r="A13" s="3" t="inlineStr">
        <is>
          <t>Amazon financials</t>
        </is>
      </c>
      <c r="B13" s="3" t="inlineStr">
        <is>
          <t>Amazon Q2 2026 earnings release and 10-Q (sec.gov); StockAnalysis.com balance sheet</t>
        </is>
      </c>
    </row>
    <row r="14">
      <c r="A14" s="3" t="inlineStr">
        <is>
          <t>Treasury yields and Fed</t>
        </is>
      </c>
      <c r="B14" s="3" t="inlineStr">
        <is>
          <t>Trading Economics (9 Oct 2026); roic.ai (13 Oct 2026): 10-year yield about 5.2%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2026-10-15T06:11:14Z</dcterms:created>
  <dcterms:modified xmlns:dcterms="http://purl.org/dc/terms/" xmlns:xsi="http://www.w3.org/2001/XMLSchema-instance" xsi:type="dcterms:W3CDTF">2026-10-15T06:11:14Z</dcterms:modified>
</cp:coreProperties>
</file>